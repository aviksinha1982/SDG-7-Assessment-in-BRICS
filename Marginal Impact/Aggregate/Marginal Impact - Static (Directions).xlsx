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ha\Downloads\"/>
    </mc:Choice>
  </mc:AlternateContent>
  <xr:revisionPtr revIDLastSave="0" documentId="13_ncr:1_{9B81A085-AF67-42D0-9825-BA0C2BD133D5}" xr6:coauthVersionLast="47" xr6:coauthVersionMax="47" xr10:uidLastSave="{00000000-0000-0000-0000-000000000000}"/>
  <bookViews>
    <workbookView xWindow="-108" yWindow="-108" windowWidth="23256" windowHeight="13896" tabRatio="890" xr2:uid="{0F6379E1-80D7-441D-8A3F-AE0CC6FEB955}"/>
  </bookViews>
  <sheets>
    <sheet name="Sheet2" sheetId="12" r:id="rId1"/>
    <sheet name="Marginal Impacts (7.3.1)" sheetId="9" r:id="rId2"/>
    <sheet name="Marginal Impacts (7.2.1)" sheetId="8" r:id="rId3"/>
    <sheet name="Marginal Impacts (7.1.2)" sheetId="6" r:id="rId4"/>
    <sheet name="Marginal Impacts (7.1.1)" sheetId="4" r:id="rId5"/>
    <sheet name="Coefficients (7.3.1)" sheetId="10" r:id="rId6"/>
    <sheet name="Coefficients (7.2.1)" sheetId="7" r:id="rId7"/>
    <sheet name="Coefficients (7.1.2)" sheetId="5" r:id="rId8"/>
    <sheet name="Coefficients (7.1.1)" sheetId="1" r:id="rId9"/>
    <sheet name="Means" sheetId="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9" l="1"/>
  <c r="E32" i="9"/>
  <c r="D32" i="9"/>
  <c r="C32" i="9"/>
  <c r="B32" i="9"/>
  <c r="F31" i="9"/>
  <c r="E31" i="9"/>
  <c r="D31" i="9"/>
  <c r="C31" i="9"/>
  <c r="B31" i="9"/>
  <c r="F30" i="9"/>
  <c r="E30" i="9"/>
  <c r="D30" i="9"/>
  <c r="C30" i="9"/>
  <c r="B30" i="9"/>
  <c r="F29" i="9"/>
  <c r="E29" i="9"/>
  <c r="D29" i="9"/>
  <c r="C29" i="9"/>
  <c r="B29" i="9"/>
  <c r="F28" i="9"/>
  <c r="E28" i="9"/>
  <c r="D28" i="9"/>
  <c r="C28" i="9"/>
  <c r="B28" i="9"/>
  <c r="F27" i="9"/>
  <c r="E27" i="9"/>
  <c r="D27" i="9"/>
  <c r="C27" i="9"/>
  <c r="B27" i="9"/>
  <c r="F26" i="9"/>
  <c r="E26" i="9"/>
  <c r="D26" i="9"/>
  <c r="C26" i="9"/>
  <c r="B26" i="9"/>
  <c r="F25" i="9"/>
  <c r="C38" i="9" s="1"/>
  <c r="E25" i="9"/>
  <c r="D25" i="9"/>
  <c r="C25" i="9"/>
  <c r="B25" i="9"/>
  <c r="F24" i="9"/>
  <c r="E24" i="9"/>
  <c r="D24" i="9"/>
  <c r="C24" i="9"/>
  <c r="B24" i="9"/>
  <c r="F23" i="9"/>
  <c r="E23" i="9"/>
  <c r="D23" i="9"/>
  <c r="C23" i="9"/>
  <c r="B23" i="9"/>
  <c r="F22" i="9"/>
  <c r="E22" i="9"/>
  <c r="D22" i="9"/>
  <c r="C22" i="9"/>
  <c r="B22" i="9"/>
  <c r="F21" i="9"/>
  <c r="E21" i="9"/>
  <c r="D21" i="9"/>
  <c r="C21" i="9"/>
  <c r="B21" i="9"/>
  <c r="F20" i="9"/>
  <c r="E20" i="9"/>
  <c r="D20" i="9"/>
  <c r="C20" i="9"/>
  <c r="B20" i="9"/>
  <c r="F19" i="9"/>
  <c r="E19" i="9"/>
  <c r="D19" i="9"/>
  <c r="C19" i="9"/>
  <c r="B19" i="9"/>
  <c r="F18" i="9"/>
  <c r="E18" i="9"/>
  <c r="D18" i="9"/>
  <c r="C18" i="9"/>
  <c r="B18" i="9"/>
  <c r="F17" i="9"/>
  <c r="E17" i="9"/>
  <c r="D17" i="9"/>
  <c r="C17" i="9"/>
  <c r="B17" i="9"/>
  <c r="F16" i="9"/>
  <c r="E16" i="9"/>
  <c r="D16" i="9"/>
  <c r="C16" i="9"/>
  <c r="B16" i="9"/>
  <c r="F15" i="9"/>
  <c r="E15" i="9"/>
  <c r="D15" i="9"/>
  <c r="C15" i="9"/>
  <c r="B15" i="9"/>
  <c r="F14" i="9"/>
  <c r="E14" i="9"/>
  <c r="D14" i="9"/>
  <c r="C14" i="9"/>
  <c r="B14" i="9"/>
  <c r="F13" i="9"/>
  <c r="E13" i="9"/>
  <c r="D13" i="9"/>
  <c r="C13" i="9"/>
  <c r="B13" i="9"/>
  <c r="F12" i="9"/>
  <c r="E12" i="9"/>
  <c r="D12" i="9"/>
  <c r="C12" i="9"/>
  <c r="B12" i="9"/>
  <c r="F11" i="9"/>
  <c r="E11" i="9"/>
  <c r="D11" i="9"/>
  <c r="C11" i="9"/>
  <c r="B11" i="9"/>
  <c r="F10" i="9"/>
  <c r="E10" i="9"/>
  <c r="D10" i="9"/>
  <c r="C10" i="9"/>
  <c r="B10" i="9"/>
  <c r="F9" i="9"/>
  <c r="E9" i="9"/>
  <c r="D9" i="9"/>
  <c r="C9" i="9"/>
  <c r="B9" i="9"/>
  <c r="F8" i="9"/>
  <c r="E8" i="9"/>
  <c r="D8" i="9"/>
  <c r="C8" i="9"/>
  <c r="B8" i="9"/>
  <c r="F7" i="9"/>
  <c r="E7" i="9"/>
  <c r="D7" i="9"/>
  <c r="C7" i="9"/>
  <c r="B7" i="9"/>
  <c r="C40" i="9" s="1"/>
  <c r="F6" i="9"/>
  <c r="E6" i="9"/>
  <c r="B39" i="9" s="1"/>
  <c r="D6" i="9"/>
  <c r="C6" i="9"/>
  <c r="B6" i="9"/>
  <c r="F5" i="9"/>
  <c r="E5" i="9"/>
  <c r="D5" i="9"/>
  <c r="C5" i="9"/>
  <c r="B5" i="9"/>
  <c r="F4" i="9"/>
  <c r="E4" i="9"/>
  <c r="D4" i="9"/>
  <c r="C4" i="9"/>
  <c r="B37" i="9" s="1"/>
  <c r="B4" i="9"/>
  <c r="F3" i="9"/>
  <c r="E3" i="9"/>
  <c r="D3" i="9"/>
  <c r="C3" i="9"/>
  <c r="B3" i="9"/>
  <c r="C36" i="9"/>
  <c r="F32" i="8"/>
  <c r="E32" i="8"/>
  <c r="D32" i="8"/>
  <c r="C32" i="8"/>
  <c r="B32" i="8"/>
  <c r="F31" i="8"/>
  <c r="E31" i="8"/>
  <c r="D31" i="8"/>
  <c r="C31" i="8"/>
  <c r="B31" i="8"/>
  <c r="F30" i="8"/>
  <c r="E30" i="8"/>
  <c r="D30" i="8"/>
  <c r="C30" i="8"/>
  <c r="B30" i="8"/>
  <c r="F29" i="8"/>
  <c r="E29" i="8"/>
  <c r="D29" i="8"/>
  <c r="C29" i="8"/>
  <c r="B29" i="8"/>
  <c r="F28" i="8"/>
  <c r="E28" i="8"/>
  <c r="D28" i="8"/>
  <c r="C28" i="8"/>
  <c r="B28" i="8"/>
  <c r="F27" i="8"/>
  <c r="E27" i="8"/>
  <c r="D27" i="8"/>
  <c r="C27" i="8"/>
  <c r="B27" i="8"/>
  <c r="F26" i="8"/>
  <c r="E26" i="8"/>
  <c r="D26" i="8"/>
  <c r="C26" i="8"/>
  <c r="B26" i="8"/>
  <c r="F25" i="8"/>
  <c r="B38" i="8" s="1"/>
  <c r="E25" i="8"/>
  <c r="D25" i="8"/>
  <c r="C25" i="8"/>
  <c r="B25" i="8"/>
  <c r="F24" i="8"/>
  <c r="E24" i="8"/>
  <c r="D24" i="8"/>
  <c r="C24" i="8"/>
  <c r="B24" i="8"/>
  <c r="F23" i="8"/>
  <c r="E23" i="8"/>
  <c r="D23" i="8"/>
  <c r="C23" i="8"/>
  <c r="B23" i="8"/>
  <c r="F22" i="8"/>
  <c r="E22" i="8"/>
  <c r="D22" i="8"/>
  <c r="C22" i="8"/>
  <c r="B22" i="8"/>
  <c r="F21" i="8"/>
  <c r="E21" i="8"/>
  <c r="D21" i="8"/>
  <c r="C21" i="8"/>
  <c r="B21" i="8"/>
  <c r="F20" i="8"/>
  <c r="E20" i="8"/>
  <c r="D20" i="8"/>
  <c r="C20" i="8"/>
  <c r="B20" i="8"/>
  <c r="F19" i="8"/>
  <c r="E19" i="8"/>
  <c r="D19" i="8"/>
  <c r="C19" i="8"/>
  <c r="B19" i="8"/>
  <c r="F18" i="8"/>
  <c r="E18" i="8"/>
  <c r="D18" i="8"/>
  <c r="C18" i="8"/>
  <c r="B18" i="8"/>
  <c r="F17" i="8"/>
  <c r="E17" i="8"/>
  <c r="D17" i="8"/>
  <c r="C17" i="8"/>
  <c r="B17" i="8"/>
  <c r="F16" i="8"/>
  <c r="E16" i="8"/>
  <c r="D16" i="8"/>
  <c r="C16" i="8"/>
  <c r="B16" i="8"/>
  <c r="F15" i="8"/>
  <c r="E15" i="8"/>
  <c r="D15" i="8"/>
  <c r="C15" i="8"/>
  <c r="B15" i="8"/>
  <c r="F14" i="8"/>
  <c r="E14" i="8"/>
  <c r="D14" i="8"/>
  <c r="C14" i="8"/>
  <c r="B14" i="8"/>
  <c r="F13" i="8"/>
  <c r="E13" i="8"/>
  <c r="D13" i="8"/>
  <c r="C13" i="8"/>
  <c r="B13" i="8"/>
  <c r="F12" i="8"/>
  <c r="E12" i="8"/>
  <c r="D12" i="8"/>
  <c r="C12" i="8"/>
  <c r="B12" i="8"/>
  <c r="F11" i="8"/>
  <c r="E11" i="8"/>
  <c r="D11" i="8"/>
  <c r="C11" i="8"/>
  <c r="B11" i="8"/>
  <c r="F10" i="8"/>
  <c r="E10" i="8"/>
  <c r="D10" i="8"/>
  <c r="C10" i="8"/>
  <c r="B10" i="8"/>
  <c r="F9" i="8"/>
  <c r="E9" i="8"/>
  <c r="D9" i="8"/>
  <c r="C9" i="8"/>
  <c r="B9" i="8"/>
  <c r="F8" i="8"/>
  <c r="E8" i="8"/>
  <c r="D8" i="8"/>
  <c r="C8" i="8"/>
  <c r="B8" i="8"/>
  <c r="F7" i="8"/>
  <c r="E7" i="8"/>
  <c r="D7" i="8"/>
  <c r="C7" i="8"/>
  <c r="B7" i="8"/>
  <c r="C40" i="8" s="1"/>
  <c r="F6" i="8"/>
  <c r="E6" i="8"/>
  <c r="C39" i="8" s="1"/>
  <c r="D6" i="8"/>
  <c r="C6" i="8"/>
  <c r="B6" i="8"/>
  <c r="F5" i="8"/>
  <c r="E5" i="8"/>
  <c r="D5" i="8"/>
  <c r="C5" i="8"/>
  <c r="B5" i="8"/>
  <c r="F4" i="8"/>
  <c r="E4" i="8"/>
  <c r="D4" i="8"/>
  <c r="C4" i="8"/>
  <c r="C37" i="8" s="1"/>
  <c r="B4" i="8"/>
  <c r="F3" i="8"/>
  <c r="E3" i="8"/>
  <c r="D3" i="8"/>
  <c r="C3" i="8"/>
  <c r="B3" i="8"/>
  <c r="B36" i="8"/>
  <c r="F32" i="6"/>
  <c r="E32" i="6"/>
  <c r="D32" i="6"/>
  <c r="C32" i="6"/>
  <c r="B32" i="6"/>
  <c r="F31" i="6"/>
  <c r="E31" i="6"/>
  <c r="D31" i="6"/>
  <c r="C31" i="6"/>
  <c r="B31" i="6"/>
  <c r="F30" i="6"/>
  <c r="E30" i="6"/>
  <c r="D30" i="6"/>
  <c r="C30" i="6"/>
  <c r="B30" i="6"/>
  <c r="F29" i="6"/>
  <c r="E29" i="6"/>
  <c r="D29" i="6"/>
  <c r="C29" i="6"/>
  <c r="B29" i="6"/>
  <c r="F28" i="6"/>
  <c r="E28" i="6"/>
  <c r="D28" i="6"/>
  <c r="C28" i="6"/>
  <c r="B28" i="6"/>
  <c r="F27" i="6"/>
  <c r="E27" i="6"/>
  <c r="D27" i="6"/>
  <c r="C27" i="6"/>
  <c r="B27" i="6"/>
  <c r="F26" i="6"/>
  <c r="E26" i="6"/>
  <c r="D26" i="6"/>
  <c r="C26" i="6"/>
  <c r="B26" i="6"/>
  <c r="F25" i="6"/>
  <c r="C38" i="6" s="1"/>
  <c r="E25" i="6"/>
  <c r="D25" i="6"/>
  <c r="C25" i="6"/>
  <c r="B25" i="6"/>
  <c r="F24" i="6"/>
  <c r="E24" i="6"/>
  <c r="D24" i="6"/>
  <c r="C24" i="6"/>
  <c r="B24" i="6"/>
  <c r="F23" i="6"/>
  <c r="E23" i="6"/>
  <c r="D23" i="6"/>
  <c r="C23" i="6"/>
  <c r="B23" i="6"/>
  <c r="F22" i="6"/>
  <c r="E22" i="6"/>
  <c r="D22" i="6"/>
  <c r="C22" i="6"/>
  <c r="B22" i="6"/>
  <c r="F21" i="6"/>
  <c r="E21" i="6"/>
  <c r="D21" i="6"/>
  <c r="C21" i="6"/>
  <c r="B21" i="6"/>
  <c r="F20" i="6"/>
  <c r="E20" i="6"/>
  <c r="D20" i="6"/>
  <c r="C20" i="6"/>
  <c r="B20" i="6"/>
  <c r="F19" i="6"/>
  <c r="E19" i="6"/>
  <c r="D19" i="6"/>
  <c r="C19" i="6"/>
  <c r="B19" i="6"/>
  <c r="F18" i="6"/>
  <c r="E18" i="6"/>
  <c r="D18" i="6"/>
  <c r="C18" i="6"/>
  <c r="B18" i="6"/>
  <c r="F17" i="6"/>
  <c r="E17" i="6"/>
  <c r="D17" i="6"/>
  <c r="C17" i="6"/>
  <c r="B17" i="6"/>
  <c r="F16" i="6"/>
  <c r="E16" i="6"/>
  <c r="D16" i="6"/>
  <c r="C16" i="6"/>
  <c r="B16" i="6"/>
  <c r="F15" i="6"/>
  <c r="E15" i="6"/>
  <c r="D15" i="6"/>
  <c r="C15" i="6"/>
  <c r="B15" i="6"/>
  <c r="F14" i="6"/>
  <c r="E14" i="6"/>
  <c r="D14" i="6"/>
  <c r="C14" i="6"/>
  <c r="B14" i="6"/>
  <c r="F13" i="6"/>
  <c r="E13" i="6"/>
  <c r="D13" i="6"/>
  <c r="C13" i="6"/>
  <c r="B13" i="6"/>
  <c r="F12" i="6"/>
  <c r="E12" i="6"/>
  <c r="D12" i="6"/>
  <c r="C12" i="6"/>
  <c r="B12" i="6"/>
  <c r="F11" i="6"/>
  <c r="E11" i="6"/>
  <c r="D11" i="6"/>
  <c r="C11" i="6"/>
  <c r="B11" i="6"/>
  <c r="F10" i="6"/>
  <c r="E10" i="6"/>
  <c r="D10" i="6"/>
  <c r="C10" i="6"/>
  <c r="B10" i="6"/>
  <c r="F9" i="6"/>
  <c r="E9" i="6"/>
  <c r="D9" i="6"/>
  <c r="C9" i="6"/>
  <c r="B9" i="6"/>
  <c r="F8" i="6"/>
  <c r="E8" i="6"/>
  <c r="D8" i="6"/>
  <c r="C8" i="6"/>
  <c r="B8" i="6"/>
  <c r="F7" i="6"/>
  <c r="E7" i="6"/>
  <c r="D7" i="6"/>
  <c r="C7" i="6"/>
  <c r="B7" i="6"/>
  <c r="C40" i="6" s="1"/>
  <c r="F6" i="6"/>
  <c r="E6" i="6"/>
  <c r="C39" i="6" s="1"/>
  <c r="D6" i="6"/>
  <c r="C6" i="6"/>
  <c r="B6" i="6"/>
  <c r="F5" i="6"/>
  <c r="E5" i="6"/>
  <c r="D5" i="6"/>
  <c r="C5" i="6"/>
  <c r="B5" i="6"/>
  <c r="F4" i="6"/>
  <c r="E4" i="6"/>
  <c r="D4" i="6"/>
  <c r="C4" i="6"/>
  <c r="C37" i="6" s="1"/>
  <c r="B4" i="6"/>
  <c r="F3" i="6"/>
  <c r="E3" i="6"/>
  <c r="D3" i="6"/>
  <c r="C3" i="6"/>
  <c r="B3" i="6"/>
  <c r="C36" i="6"/>
  <c r="F28" i="4"/>
  <c r="F29" i="4"/>
  <c r="F30" i="4"/>
  <c r="F31" i="4"/>
  <c r="F32" i="4"/>
  <c r="F23" i="4"/>
  <c r="F24" i="4"/>
  <c r="F25" i="4"/>
  <c r="F26" i="4"/>
  <c r="F27" i="4"/>
  <c r="F18" i="4"/>
  <c r="F19" i="4"/>
  <c r="F20" i="4"/>
  <c r="F21" i="4"/>
  <c r="F22" i="4"/>
  <c r="F13" i="4"/>
  <c r="F14" i="4"/>
  <c r="F15" i="4"/>
  <c r="F16" i="4"/>
  <c r="F17" i="4"/>
  <c r="F8" i="4"/>
  <c r="F9" i="4"/>
  <c r="F10" i="4"/>
  <c r="F11" i="4"/>
  <c r="F12" i="4"/>
  <c r="F4" i="4"/>
  <c r="F5" i="4"/>
  <c r="F6" i="4"/>
  <c r="F7" i="4"/>
  <c r="F3" i="4"/>
  <c r="E28" i="4"/>
  <c r="E29" i="4"/>
  <c r="E30" i="4"/>
  <c r="E31" i="4"/>
  <c r="E32" i="4"/>
  <c r="E23" i="4"/>
  <c r="E24" i="4"/>
  <c r="E25" i="4"/>
  <c r="E26" i="4"/>
  <c r="E27" i="4"/>
  <c r="E18" i="4"/>
  <c r="E19" i="4"/>
  <c r="E20" i="4"/>
  <c r="E21" i="4"/>
  <c r="E22" i="4"/>
  <c r="E13" i="4"/>
  <c r="E14" i="4"/>
  <c r="E15" i="4"/>
  <c r="E16" i="4"/>
  <c r="E17" i="4"/>
  <c r="E8" i="4"/>
  <c r="E9" i="4"/>
  <c r="E10" i="4"/>
  <c r="E11" i="4"/>
  <c r="E12" i="4"/>
  <c r="E4" i="4"/>
  <c r="E5" i="4"/>
  <c r="E6" i="4"/>
  <c r="E7" i="4"/>
  <c r="E3" i="4"/>
  <c r="D28" i="4"/>
  <c r="D29" i="4"/>
  <c r="C37" i="4" s="1"/>
  <c r="D30" i="4"/>
  <c r="D31" i="4"/>
  <c r="D32" i="4"/>
  <c r="D23" i="4"/>
  <c r="D24" i="4"/>
  <c r="D25" i="4"/>
  <c r="D26" i="4"/>
  <c r="D27" i="4"/>
  <c r="D18" i="4"/>
  <c r="D19" i="4"/>
  <c r="D20" i="4"/>
  <c r="D21" i="4"/>
  <c r="D22" i="4"/>
  <c r="D13" i="4"/>
  <c r="D14" i="4"/>
  <c r="D15" i="4"/>
  <c r="D16" i="4"/>
  <c r="D17" i="4"/>
  <c r="D8" i="4"/>
  <c r="D9" i="4"/>
  <c r="D10" i="4"/>
  <c r="D11" i="4"/>
  <c r="D12" i="4"/>
  <c r="D4" i="4"/>
  <c r="D5" i="4"/>
  <c r="D6" i="4"/>
  <c r="D7" i="4"/>
  <c r="D3" i="4"/>
  <c r="C28" i="4"/>
  <c r="C29" i="4"/>
  <c r="C30" i="4"/>
  <c r="C31" i="4"/>
  <c r="C32" i="4"/>
  <c r="C23" i="4"/>
  <c r="C24" i="4"/>
  <c r="C25" i="4"/>
  <c r="C26" i="4"/>
  <c r="C27" i="4"/>
  <c r="C18" i="4"/>
  <c r="C19" i="4"/>
  <c r="C20" i="4"/>
  <c r="C21" i="4"/>
  <c r="C22" i="4"/>
  <c r="C13" i="4"/>
  <c r="C14" i="4"/>
  <c r="C15" i="4"/>
  <c r="C16" i="4"/>
  <c r="C17" i="4"/>
  <c r="C12" i="4"/>
  <c r="C11" i="4"/>
  <c r="C10" i="4"/>
  <c r="C9" i="4"/>
  <c r="C8" i="4"/>
  <c r="C4" i="4"/>
  <c r="C5" i="4"/>
  <c r="C6" i="4"/>
  <c r="C7" i="4"/>
  <c r="C3" i="4"/>
  <c r="B29" i="4"/>
  <c r="B30" i="4"/>
  <c r="B31" i="4"/>
  <c r="B32" i="4"/>
  <c r="B28" i="4"/>
  <c r="B24" i="4"/>
  <c r="B25" i="4"/>
  <c r="B26" i="4"/>
  <c r="B27" i="4"/>
  <c r="B23" i="4"/>
  <c r="B19" i="4"/>
  <c r="B20" i="4"/>
  <c r="B21" i="4"/>
  <c r="B22" i="4"/>
  <c r="B18" i="4"/>
  <c r="B14" i="4"/>
  <c r="B15" i="4"/>
  <c r="B16" i="4"/>
  <c r="B17" i="4"/>
  <c r="B13" i="4"/>
  <c r="B9" i="4"/>
  <c r="B10" i="4"/>
  <c r="B11" i="4"/>
  <c r="B12" i="4"/>
  <c r="B8" i="4"/>
  <c r="B4" i="4"/>
  <c r="B5" i="4"/>
  <c r="B6" i="4"/>
  <c r="B7" i="4"/>
  <c r="B3" i="4"/>
  <c r="C39" i="9" l="1"/>
  <c r="B36" i="9"/>
  <c r="B38" i="9"/>
  <c r="C37" i="9"/>
  <c r="B40" i="9"/>
  <c r="B40" i="8"/>
  <c r="C36" i="8"/>
  <c r="C38" i="8"/>
  <c r="B37" i="8"/>
  <c r="B39" i="8"/>
  <c r="B39" i="6"/>
  <c r="B37" i="6"/>
  <c r="B38" i="6"/>
  <c r="B40" i="6"/>
  <c r="B36" i="6"/>
  <c r="C36" i="4"/>
  <c r="B37" i="4"/>
  <c r="B38" i="4"/>
  <c r="C38" i="4"/>
  <c r="B36" i="4"/>
  <c r="C39" i="4"/>
  <c r="C40" i="4"/>
  <c r="B40" i="4"/>
  <c r="B39" i="4"/>
</calcChain>
</file>

<file path=xl/sharedStrings.xml><?xml version="1.0" encoding="utf-8"?>
<sst xmlns="http://schemas.openxmlformats.org/spreadsheetml/2006/main" count="360" uniqueCount="46">
  <si>
    <t>Health Expenditure</t>
  </si>
  <si>
    <t>Income Inequality</t>
  </si>
  <si>
    <t>Rural Population Growth</t>
  </si>
  <si>
    <t>Financial Access</t>
  </si>
  <si>
    <t>Electricity Generation</t>
  </si>
  <si>
    <t>7.1.1</t>
  </si>
  <si>
    <t>Year</t>
  </si>
  <si>
    <t>VOICE</t>
  </si>
  <si>
    <t>RULE</t>
  </si>
  <si>
    <t>REG</t>
  </si>
  <si>
    <t>POLST</t>
  </si>
  <si>
    <t>GOVEFF</t>
  </si>
  <si>
    <t>CORR</t>
  </si>
  <si>
    <t>WV</t>
  </si>
  <si>
    <t>IV</t>
  </si>
  <si>
    <t>HELV</t>
  </si>
  <si>
    <t>FV</t>
  </si>
  <si>
    <t>EV</t>
  </si>
  <si>
    <t>Ecosystem Vulnerability</t>
  </si>
  <si>
    <t>Food Vulnerability</t>
  </si>
  <si>
    <t>Health Vulnerability</t>
  </si>
  <si>
    <t>Infrastructure Vulnerability</t>
  </si>
  <si>
    <t>Water Vulnerability</t>
  </si>
  <si>
    <t>HLV</t>
  </si>
  <si>
    <t>7.1.2</t>
  </si>
  <si>
    <t>Renewable Electricity Generation</t>
  </si>
  <si>
    <t>Policy Stringency</t>
  </si>
  <si>
    <t>Per Capita Income</t>
  </si>
  <si>
    <t>Urban Population Growth</t>
  </si>
  <si>
    <t>7.2.1</t>
  </si>
  <si>
    <t>Environmental Innovation</t>
  </si>
  <si>
    <t>Financial Development</t>
  </si>
  <si>
    <t>Net Energy Import</t>
  </si>
  <si>
    <t>Low Carbon Trade</t>
  </si>
  <si>
    <t>7.3.1</t>
  </si>
  <si>
    <t>Foreign Direct Investment</t>
  </si>
  <si>
    <t>Industrial Share</t>
  </si>
  <si>
    <t>Energy Demand</t>
  </si>
  <si>
    <t>Negative Impact</t>
  </si>
  <si>
    <t>Positive Impact</t>
  </si>
  <si>
    <t>SDG</t>
  </si>
  <si>
    <t>Determinants</t>
  </si>
  <si>
    <t>SDG 7.1.1</t>
  </si>
  <si>
    <t>SDG 7.1.2</t>
  </si>
  <si>
    <t>SDG 7.2.1</t>
  </si>
  <si>
    <t>SDG 7.3.1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</si>
</sst>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 Pro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10" fontId="1" fillId="0" borderId="0" xfId="0" applyNumberFormat="1" applyFont="1"/>
    <xf numFmtId="0" fontId="2" fillId="0" borderId="0" xfId="0" applyFont="1"/>
    <xf numFmtId="0" fontId="2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10" fontId="2" fillId="0" borderId="0" xfId="0" applyNumberFormat="1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ysClr val="windowText" lastClr="000000"/>
                </a:solidFill>
                <a:latin typeface="Gentium Basic" panose="02000503060000020004" pitchFamily="2" charset="0"/>
                <a:ea typeface="+mn-ea"/>
                <a:cs typeface="+mn-cs"/>
              </a:defRPr>
            </a:pPr>
            <a:r>
              <a:rPr lang="en-US" sz="1400">
                <a:solidFill>
                  <a:sysClr val="windowText" lastClr="000000"/>
                </a:solidFill>
              </a:rPr>
              <a:t>STATIC Marginal impacts</a:t>
            </a:r>
            <a:r>
              <a:rPr lang="en-US" sz="1400" baseline="0">
                <a:solidFill>
                  <a:sysClr val="windowText" lastClr="000000"/>
                </a:solidFill>
              </a:rPr>
              <a:t> under governance quality and climate vulnerability</a:t>
            </a:r>
            <a:endParaRPr lang="en-US" sz="14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ysClr val="windowText" lastClr="000000"/>
              </a:solidFill>
              <a:latin typeface="Gentium Basic" panose="0200050306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Negative Impact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Sheet2!$A$2:$B$21</c:f>
              <c:multiLvlStrCache>
                <c:ptCount val="20"/>
                <c:lvl>
                  <c:pt idx="0">
                    <c:v>Electricity Generation</c:v>
                  </c:pt>
                  <c:pt idx="1">
                    <c:v>Financial Access</c:v>
                  </c:pt>
                  <c:pt idx="2">
                    <c:v>Rural Population Growth</c:v>
                  </c:pt>
                  <c:pt idx="3">
                    <c:v>Income Inequality</c:v>
                  </c:pt>
                  <c:pt idx="4">
                    <c:v>Health Expenditure</c:v>
                  </c:pt>
                  <c:pt idx="5">
                    <c:v>Renewable Electricity Generation</c:v>
                  </c:pt>
                  <c:pt idx="6">
                    <c:v>Financial Access</c:v>
                  </c:pt>
                  <c:pt idx="7">
                    <c:v>Policy Stringency</c:v>
                  </c:pt>
                  <c:pt idx="8">
                    <c:v>Per Capita Income</c:v>
                  </c:pt>
                  <c:pt idx="9">
                    <c:v>Urban Population Growth</c:v>
                  </c:pt>
                  <c:pt idx="10">
                    <c:v>Policy Stringency</c:v>
                  </c:pt>
                  <c:pt idx="11">
                    <c:v>Environmental Innovation</c:v>
                  </c:pt>
                  <c:pt idx="12">
                    <c:v>Financial Development</c:v>
                  </c:pt>
                  <c:pt idx="13">
                    <c:v>Net Energy Import</c:v>
                  </c:pt>
                  <c:pt idx="14">
                    <c:v>Low Carbon Trade</c:v>
                  </c:pt>
                  <c:pt idx="15">
                    <c:v>Policy Stringency</c:v>
                  </c:pt>
                  <c:pt idx="16">
                    <c:v>Environmental Innovation</c:v>
                  </c:pt>
                  <c:pt idx="17">
                    <c:v>Foreign Direct Investment</c:v>
                  </c:pt>
                  <c:pt idx="18">
                    <c:v>Industrial Share</c:v>
                  </c:pt>
                  <c:pt idx="19">
                    <c:v>Energy Demand</c:v>
                  </c:pt>
                </c:lvl>
                <c:lvl>
                  <c:pt idx="0">
                    <c:v>SDG 7.1.1</c:v>
                  </c:pt>
                  <c:pt idx="5">
                    <c:v>SDG 7.1.2</c:v>
                  </c:pt>
                  <c:pt idx="10">
                    <c:v>SDG 7.2.1</c:v>
                  </c:pt>
                  <c:pt idx="15">
                    <c:v>SDG 7.3.1</c:v>
                  </c:pt>
                </c:lvl>
              </c:multiLvlStrCache>
            </c:multiLvlStrRef>
          </c:cat>
          <c:val>
            <c:numRef>
              <c:f>Sheet2!$C$2:$C$21</c:f>
              <c:numCache>
                <c:formatCode>0.00%</c:formatCode>
                <c:ptCount val="20"/>
                <c:pt idx="0">
                  <c:v>0.9</c:v>
                </c:pt>
                <c:pt idx="1">
                  <c:v>0</c:v>
                </c:pt>
                <c:pt idx="2">
                  <c:v>0.96666666666666667</c:v>
                </c:pt>
                <c:pt idx="3">
                  <c:v>0.16666666666666666</c:v>
                </c:pt>
                <c:pt idx="4">
                  <c:v>6.6666666666666666E-2</c:v>
                </c:pt>
                <c:pt idx="5">
                  <c:v>0.43333333333333335</c:v>
                </c:pt>
                <c:pt idx="6">
                  <c:v>0</c:v>
                </c:pt>
                <c:pt idx="7">
                  <c:v>0.53333333333333333</c:v>
                </c:pt>
                <c:pt idx="8">
                  <c:v>0</c:v>
                </c:pt>
                <c:pt idx="9">
                  <c:v>0.9</c:v>
                </c:pt>
                <c:pt idx="10">
                  <c:v>0.16666666666666666</c:v>
                </c:pt>
                <c:pt idx="11">
                  <c:v>0.76666666666666672</c:v>
                </c:pt>
                <c:pt idx="12">
                  <c:v>0.1</c:v>
                </c:pt>
                <c:pt idx="13">
                  <c:v>0</c:v>
                </c:pt>
                <c:pt idx="14">
                  <c:v>1</c:v>
                </c:pt>
                <c:pt idx="15">
                  <c:v>0.8666666666666667</c:v>
                </c:pt>
                <c:pt idx="16">
                  <c:v>0.7</c:v>
                </c:pt>
                <c:pt idx="17">
                  <c:v>0.96666666666666667</c:v>
                </c:pt>
                <c:pt idx="18">
                  <c:v>0</c:v>
                </c:pt>
                <c:pt idx="19">
                  <c:v>0.8666666666666667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3-4B37-BF24-AD4112DE8434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Positive Impact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Sheet2!$A$2:$B$21</c:f>
              <c:multiLvlStrCache>
                <c:ptCount val="20"/>
                <c:lvl>
                  <c:pt idx="0">
                    <c:v>Electricity Generation</c:v>
                  </c:pt>
                  <c:pt idx="1">
                    <c:v>Financial Access</c:v>
                  </c:pt>
                  <c:pt idx="2">
                    <c:v>Rural Population Growth</c:v>
                  </c:pt>
                  <c:pt idx="3">
                    <c:v>Income Inequality</c:v>
                  </c:pt>
                  <c:pt idx="4">
                    <c:v>Health Expenditure</c:v>
                  </c:pt>
                  <c:pt idx="5">
                    <c:v>Renewable Electricity Generation</c:v>
                  </c:pt>
                  <c:pt idx="6">
                    <c:v>Financial Access</c:v>
                  </c:pt>
                  <c:pt idx="7">
                    <c:v>Policy Stringency</c:v>
                  </c:pt>
                  <c:pt idx="8">
                    <c:v>Per Capita Income</c:v>
                  </c:pt>
                  <c:pt idx="9">
                    <c:v>Urban Population Growth</c:v>
                  </c:pt>
                  <c:pt idx="10">
                    <c:v>Policy Stringency</c:v>
                  </c:pt>
                  <c:pt idx="11">
                    <c:v>Environmental Innovation</c:v>
                  </c:pt>
                  <c:pt idx="12">
                    <c:v>Financial Development</c:v>
                  </c:pt>
                  <c:pt idx="13">
                    <c:v>Net Energy Import</c:v>
                  </c:pt>
                  <c:pt idx="14">
                    <c:v>Low Carbon Trade</c:v>
                  </c:pt>
                  <c:pt idx="15">
                    <c:v>Policy Stringency</c:v>
                  </c:pt>
                  <c:pt idx="16">
                    <c:v>Environmental Innovation</c:v>
                  </c:pt>
                  <c:pt idx="17">
                    <c:v>Foreign Direct Investment</c:v>
                  </c:pt>
                  <c:pt idx="18">
                    <c:v>Industrial Share</c:v>
                  </c:pt>
                  <c:pt idx="19">
                    <c:v>Energy Demand</c:v>
                  </c:pt>
                </c:lvl>
                <c:lvl>
                  <c:pt idx="0">
                    <c:v>SDG 7.1.1</c:v>
                  </c:pt>
                  <c:pt idx="5">
                    <c:v>SDG 7.1.2</c:v>
                  </c:pt>
                  <c:pt idx="10">
                    <c:v>SDG 7.2.1</c:v>
                  </c:pt>
                  <c:pt idx="15">
                    <c:v>SDG 7.3.1</c:v>
                  </c:pt>
                </c:lvl>
              </c:multiLvlStrCache>
            </c:multiLvlStrRef>
          </c:cat>
          <c:val>
            <c:numRef>
              <c:f>Sheet2!$D$2:$D$21</c:f>
              <c:numCache>
                <c:formatCode>0.00%</c:formatCode>
                <c:ptCount val="20"/>
                <c:pt idx="0">
                  <c:v>0.1</c:v>
                </c:pt>
                <c:pt idx="1">
                  <c:v>1</c:v>
                </c:pt>
                <c:pt idx="2">
                  <c:v>3.3333333333333333E-2</c:v>
                </c:pt>
                <c:pt idx="3">
                  <c:v>0.83333333333333337</c:v>
                </c:pt>
                <c:pt idx="4">
                  <c:v>0.93333333333333335</c:v>
                </c:pt>
                <c:pt idx="5">
                  <c:v>0.56666666666666665</c:v>
                </c:pt>
                <c:pt idx="6">
                  <c:v>1</c:v>
                </c:pt>
                <c:pt idx="7">
                  <c:v>0.46666666666666667</c:v>
                </c:pt>
                <c:pt idx="8">
                  <c:v>1</c:v>
                </c:pt>
                <c:pt idx="9">
                  <c:v>0.1</c:v>
                </c:pt>
                <c:pt idx="10">
                  <c:v>0.83333333333333337</c:v>
                </c:pt>
                <c:pt idx="11">
                  <c:v>0.23333333333333334</c:v>
                </c:pt>
                <c:pt idx="12">
                  <c:v>0.9</c:v>
                </c:pt>
                <c:pt idx="13">
                  <c:v>1</c:v>
                </c:pt>
                <c:pt idx="14">
                  <c:v>0</c:v>
                </c:pt>
                <c:pt idx="15">
                  <c:v>0.13333333333333333</c:v>
                </c:pt>
                <c:pt idx="16">
                  <c:v>0.3</c:v>
                </c:pt>
                <c:pt idx="17">
                  <c:v>3.3333333333333333E-2</c:v>
                </c:pt>
                <c:pt idx="18">
                  <c:v>1</c:v>
                </c:pt>
                <c:pt idx="19">
                  <c:v>0.13333333333333333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B3-4B37-BF24-AD4112DE8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42396672"/>
        <c:axId val="1742397152"/>
      </c:barChart>
      <c:catAx>
        <c:axId val="1742396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Gentium Basic" panose="02000503060000020004" pitchFamily="2" charset="0"/>
                <a:ea typeface="+mn-ea"/>
                <a:cs typeface="+mn-cs"/>
              </a:defRPr>
            </a:pPr>
            <a:endParaRPr lang="en-US"/>
          </a:p>
        </c:txPr>
        <c:crossAx val="1742397152"/>
        <c:crosses val="autoZero"/>
        <c:auto val="1"/>
        <c:lblAlgn val="ctr"/>
        <c:lblOffset val="100"/>
        <c:noMultiLvlLbl val="0"/>
      </c:catAx>
      <c:valAx>
        <c:axId val="17423971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Gentium Basic" panose="02000503060000020004" pitchFamily="2" charset="0"/>
                <a:ea typeface="+mn-ea"/>
                <a:cs typeface="+mn-cs"/>
              </a:defRPr>
            </a:pPr>
            <a:endParaRPr lang="en-US"/>
          </a:p>
        </c:txPr>
        <c:crossAx val="174239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Gentium Basic" panose="0200050306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Gentium Basic" panose="0200050306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ysClr val="windowText" lastClr="000000"/>
                </a:solidFill>
                <a:latin typeface="Gentium Basic" panose="02000503060000020004" pitchFamily="2" charset="0"/>
                <a:ea typeface="+mn-ea"/>
                <a:cs typeface="+mn-cs"/>
              </a:defRPr>
            </a:pPr>
            <a:r>
              <a:rPr lang="en-US" sz="1200" b="1" i="0" u="none" strike="noStrike" cap="all" normalizeH="0" baseline="0">
                <a:effectLst/>
              </a:rPr>
              <a:t>instances of </a:t>
            </a:r>
            <a:r>
              <a:rPr lang="en-US" sz="1200"/>
              <a:t>Static marginal impact: SDG 7.3.1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ysClr val="windowText" lastClr="000000"/>
              </a:solidFill>
              <a:latin typeface="Gentium Basic" panose="0200050306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'Marginal Impacts (7.3.1)'!$B$35</c:f>
              <c:strCache>
                <c:ptCount val="1"/>
                <c:pt idx="0">
                  <c:v>Negative Impact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Gentium Basic" panose="0200050306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'Marginal Impacts (7.3.1)'!$A$36:$A$40</c:f>
              <c:strCache>
                <c:ptCount val="5"/>
                <c:pt idx="0">
                  <c:v>Policy Stringency</c:v>
                </c:pt>
                <c:pt idx="1">
                  <c:v>Environmental Innovation</c:v>
                </c:pt>
                <c:pt idx="2">
                  <c:v>Foreign Direct Investment</c:v>
                </c:pt>
                <c:pt idx="3">
                  <c:v>Industrial Share</c:v>
                </c:pt>
                <c:pt idx="4">
                  <c:v>Energy Demand</c:v>
                </c:pt>
              </c:strCache>
            </c:strRef>
          </c:cat>
          <c:val>
            <c:numRef>
              <c:f>'Marginal Impacts (7.3.1)'!$B$36:$B$40</c:f>
              <c:numCache>
                <c:formatCode>0.00%</c:formatCode>
                <c:ptCount val="5"/>
                <c:pt idx="0">
                  <c:v>0.8666666666666667</c:v>
                </c:pt>
                <c:pt idx="1">
                  <c:v>0.7</c:v>
                </c:pt>
                <c:pt idx="2">
                  <c:v>0.96666666666666667</c:v>
                </c:pt>
                <c:pt idx="3">
                  <c:v>0</c:v>
                </c:pt>
                <c:pt idx="4">
                  <c:v>0.8666666666666667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D7-4FDE-A064-A1D99E7E0BB1}"/>
            </c:ext>
          </c:extLst>
        </c:ser>
        <c:ser>
          <c:idx val="1"/>
          <c:order val="1"/>
          <c:tx>
            <c:strRef>
              <c:f>'Marginal Impacts (7.3.1)'!$C$35</c:f>
              <c:strCache>
                <c:ptCount val="1"/>
                <c:pt idx="0">
                  <c:v>Positive Impact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Gentium Basic" panose="0200050306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'Marginal Impacts (7.3.1)'!$A$36:$A$40</c:f>
              <c:strCache>
                <c:ptCount val="5"/>
                <c:pt idx="0">
                  <c:v>Policy Stringency</c:v>
                </c:pt>
                <c:pt idx="1">
                  <c:v>Environmental Innovation</c:v>
                </c:pt>
                <c:pt idx="2">
                  <c:v>Foreign Direct Investment</c:v>
                </c:pt>
                <c:pt idx="3">
                  <c:v>Industrial Share</c:v>
                </c:pt>
                <c:pt idx="4">
                  <c:v>Energy Demand</c:v>
                </c:pt>
              </c:strCache>
            </c:strRef>
          </c:cat>
          <c:val>
            <c:numRef>
              <c:f>'Marginal Impacts (7.3.1)'!$C$36:$C$40</c:f>
              <c:numCache>
                <c:formatCode>0.00%</c:formatCode>
                <c:ptCount val="5"/>
                <c:pt idx="0">
                  <c:v>0.13333333333333333</c:v>
                </c:pt>
                <c:pt idx="1">
                  <c:v>0.3</c:v>
                </c:pt>
                <c:pt idx="2">
                  <c:v>3.3333333333333333E-2</c:v>
                </c:pt>
                <c:pt idx="3">
                  <c:v>1</c:v>
                </c:pt>
                <c:pt idx="4">
                  <c:v>0.13333333333333333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D7-4FDE-A064-A1D99E7E0B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8184832"/>
        <c:axId val="48206048"/>
      </c:barChart>
      <c:catAx>
        <c:axId val="4818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ysClr val="windowText" lastClr="000000"/>
                </a:solidFill>
                <a:latin typeface="Gentium Basic" panose="02000503060000020004" pitchFamily="2" charset="0"/>
                <a:ea typeface="+mn-ea"/>
                <a:cs typeface="+mn-cs"/>
              </a:defRPr>
            </a:pPr>
            <a:endParaRPr lang="en-US"/>
          </a:p>
        </c:txPr>
        <c:crossAx val="48206048"/>
        <c:crosses val="autoZero"/>
        <c:auto val="1"/>
        <c:lblAlgn val="ctr"/>
        <c:lblOffset val="100"/>
        <c:noMultiLvlLbl val="0"/>
      </c:catAx>
      <c:valAx>
        <c:axId val="4820604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4818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Gentium Basic" panose="0200050306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Gentium Basic" panose="0200050306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ysClr val="windowText" lastClr="000000"/>
                </a:solidFill>
                <a:latin typeface="Gentium Basic" panose="02000503060000020004" pitchFamily="2" charset="0"/>
                <a:ea typeface="+mn-ea"/>
                <a:cs typeface="+mn-cs"/>
              </a:defRPr>
            </a:pPr>
            <a:r>
              <a:rPr lang="en-US" sz="1200" b="1" i="0" u="none" strike="noStrike" cap="all" normalizeH="0" baseline="0">
                <a:effectLst/>
              </a:rPr>
              <a:t>instances of </a:t>
            </a:r>
            <a:r>
              <a:rPr lang="en-US" sz="1200"/>
              <a:t>Static marginal impact: SDG 7.2.1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ysClr val="windowText" lastClr="000000"/>
              </a:solidFill>
              <a:latin typeface="Gentium Basic" panose="0200050306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'Marginal Impacts (7.2.1)'!$B$35</c:f>
              <c:strCache>
                <c:ptCount val="1"/>
                <c:pt idx="0">
                  <c:v>Negative Impact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Gentium Basic" panose="0200050306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'Marginal Impacts (7.2.1)'!$A$36:$A$40</c:f>
              <c:strCache>
                <c:ptCount val="5"/>
                <c:pt idx="0">
                  <c:v>Policy Stringency</c:v>
                </c:pt>
                <c:pt idx="1">
                  <c:v>Environmental Innovation</c:v>
                </c:pt>
                <c:pt idx="2">
                  <c:v>Financial Development</c:v>
                </c:pt>
                <c:pt idx="3">
                  <c:v>Net Energy Import</c:v>
                </c:pt>
                <c:pt idx="4">
                  <c:v>Low Carbon Trade</c:v>
                </c:pt>
              </c:strCache>
            </c:strRef>
          </c:cat>
          <c:val>
            <c:numRef>
              <c:f>'Marginal Impacts (7.2.1)'!$B$36:$B$40</c:f>
              <c:numCache>
                <c:formatCode>0.00%</c:formatCode>
                <c:ptCount val="5"/>
                <c:pt idx="0">
                  <c:v>0.16666666666666666</c:v>
                </c:pt>
                <c:pt idx="1">
                  <c:v>0.76666666666666672</c:v>
                </c:pt>
                <c:pt idx="2">
                  <c:v>0.1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3D-45D3-A92B-578EB26AF66B}"/>
            </c:ext>
          </c:extLst>
        </c:ser>
        <c:ser>
          <c:idx val="1"/>
          <c:order val="1"/>
          <c:tx>
            <c:strRef>
              <c:f>'Marginal Impacts (7.2.1)'!$C$35</c:f>
              <c:strCache>
                <c:ptCount val="1"/>
                <c:pt idx="0">
                  <c:v>Positive Impact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Gentium Basic" panose="0200050306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'Marginal Impacts (7.2.1)'!$A$36:$A$40</c:f>
              <c:strCache>
                <c:ptCount val="5"/>
                <c:pt idx="0">
                  <c:v>Policy Stringency</c:v>
                </c:pt>
                <c:pt idx="1">
                  <c:v>Environmental Innovation</c:v>
                </c:pt>
                <c:pt idx="2">
                  <c:v>Financial Development</c:v>
                </c:pt>
                <c:pt idx="3">
                  <c:v>Net Energy Import</c:v>
                </c:pt>
                <c:pt idx="4">
                  <c:v>Low Carbon Trade</c:v>
                </c:pt>
              </c:strCache>
            </c:strRef>
          </c:cat>
          <c:val>
            <c:numRef>
              <c:f>'Marginal Impacts (7.2.1)'!$C$36:$C$40</c:f>
              <c:numCache>
                <c:formatCode>0.00%</c:formatCode>
                <c:ptCount val="5"/>
                <c:pt idx="0">
                  <c:v>0.83333333333333337</c:v>
                </c:pt>
                <c:pt idx="1">
                  <c:v>0.23333333333333334</c:v>
                </c:pt>
                <c:pt idx="2">
                  <c:v>0.9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3D-45D3-A92B-578EB26AF6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8184832"/>
        <c:axId val="48206048"/>
      </c:barChart>
      <c:catAx>
        <c:axId val="4818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ysClr val="windowText" lastClr="000000"/>
                </a:solidFill>
                <a:latin typeface="Gentium Basic" panose="02000503060000020004" pitchFamily="2" charset="0"/>
                <a:ea typeface="+mn-ea"/>
                <a:cs typeface="+mn-cs"/>
              </a:defRPr>
            </a:pPr>
            <a:endParaRPr lang="en-US"/>
          </a:p>
        </c:txPr>
        <c:crossAx val="48206048"/>
        <c:crosses val="autoZero"/>
        <c:auto val="1"/>
        <c:lblAlgn val="ctr"/>
        <c:lblOffset val="100"/>
        <c:noMultiLvlLbl val="0"/>
      </c:catAx>
      <c:valAx>
        <c:axId val="4820604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4818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Gentium Basic" panose="0200050306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Gentium Basic" panose="0200050306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ysClr val="windowText" lastClr="000000"/>
                </a:solidFill>
                <a:latin typeface="Gentium Basic" panose="02000503060000020004" pitchFamily="2" charset="0"/>
                <a:ea typeface="+mn-ea"/>
                <a:cs typeface="+mn-cs"/>
              </a:defRPr>
            </a:pPr>
            <a:r>
              <a:rPr lang="en-US" sz="1200" b="1" i="0" u="none" strike="noStrike" cap="all" normalizeH="0" baseline="0">
                <a:effectLst/>
              </a:rPr>
              <a:t>instances of </a:t>
            </a:r>
            <a:r>
              <a:rPr lang="en-US" sz="1200"/>
              <a:t>Static marginal impact: SDG 7.1.2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ysClr val="windowText" lastClr="000000"/>
              </a:solidFill>
              <a:latin typeface="Gentium Basic" panose="0200050306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'Marginal Impacts (7.1.2)'!$B$35</c:f>
              <c:strCache>
                <c:ptCount val="1"/>
                <c:pt idx="0">
                  <c:v>Negative Impact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Gentium Basic" panose="0200050306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'Marginal Impacts (7.1.2)'!$A$36:$A$40</c:f>
              <c:strCache>
                <c:ptCount val="5"/>
                <c:pt idx="0">
                  <c:v>Renewable Electricity Generation</c:v>
                </c:pt>
                <c:pt idx="1">
                  <c:v>Financial Access</c:v>
                </c:pt>
                <c:pt idx="2">
                  <c:v>Policy Stringency</c:v>
                </c:pt>
                <c:pt idx="3">
                  <c:v>Per Capita Income</c:v>
                </c:pt>
                <c:pt idx="4">
                  <c:v>Urban Population Growth</c:v>
                </c:pt>
              </c:strCache>
            </c:strRef>
          </c:cat>
          <c:val>
            <c:numRef>
              <c:f>'Marginal Impacts (7.1.2)'!$B$36:$B$40</c:f>
              <c:numCache>
                <c:formatCode>0.00%</c:formatCode>
                <c:ptCount val="5"/>
                <c:pt idx="0">
                  <c:v>0.43333333333333335</c:v>
                </c:pt>
                <c:pt idx="1">
                  <c:v>0</c:v>
                </c:pt>
                <c:pt idx="2">
                  <c:v>0.53333333333333333</c:v>
                </c:pt>
                <c:pt idx="3">
                  <c:v>0</c:v>
                </c:pt>
                <c:pt idx="4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FF-486B-9580-E2CF3DD190A4}"/>
            </c:ext>
          </c:extLst>
        </c:ser>
        <c:ser>
          <c:idx val="1"/>
          <c:order val="1"/>
          <c:tx>
            <c:strRef>
              <c:f>'Marginal Impacts (7.1.2)'!$C$35</c:f>
              <c:strCache>
                <c:ptCount val="1"/>
                <c:pt idx="0">
                  <c:v>Positive Impact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Gentium Basic" panose="0200050306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'Marginal Impacts (7.1.2)'!$A$36:$A$40</c:f>
              <c:strCache>
                <c:ptCount val="5"/>
                <c:pt idx="0">
                  <c:v>Renewable Electricity Generation</c:v>
                </c:pt>
                <c:pt idx="1">
                  <c:v>Financial Access</c:v>
                </c:pt>
                <c:pt idx="2">
                  <c:v>Policy Stringency</c:v>
                </c:pt>
                <c:pt idx="3">
                  <c:v>Per Capita Income</c:v>
                </c:pt>
                <c:pt idx="4">
                  <c:v>Urban Population Growth</c:v>
                </c:pt>
              </c:strCache>
            </c:strRef>
          </c:cat>
          <c:val>
            <c:numRef>
              <c:f>'Marginal Impacts (7.1.2)'!$C$36:$C$40</c:f>
              <c:numCache>
                <c:formatCode>0.00%</c:formatCode>
                <c:ptCount val="5"/>
                <c:pt idx="0">
                  <c:v>0.56666666666666665</c:v>
                </c:pt>
                <c:pt idx="1">
                  <c:v>1</c:v>
                </c:pt>
                <c:pt idx="2">
                  <c:v>0.46666666666666667</c:v>
                </c:pt>
                <c:pt idx="3">
                  <c:v>1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FF-486B-9580-E2CF3DD190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8184832"/>
        <c:axId val="48206048"/>
      </c:barChart>
      <c:catAx>
        <c:axId val="4818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ysClr val="windowText" lastClr="000000"/>
                </a:solidFill>
                <a:latin typeface="Gentium Basic" panose="02000503060000020004" pitchFamily="2" charset="0"/>
                <a:ea typeface="+mn-ea"/>
                <a:cs typeface="+mn-cs"/>
              </a:defRPr>
            </a:pPr>
            <a:endParaRPr lang="en-US"/>
          </a:p>
        </c:txPr>
        <c:crossAx val="48206048"/>
        <c:crosses val="autoZero"/>
        <c:auto val="1"/>
        <c:lblAlgn val="ctr"/>
        <c:lblOffset val="100"/>
        <c:noMultiLvlLbl val="0"/>
      </c:catAx>
      <c:valAx>
        <c:axId val="4820604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4818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Gentium Basic" panose="0200050306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Gentium Basic" panose="0200050306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ysClr val="windowText" lastClr="000000"/>
                </a:solidFill>
                <a:latin typeface="Gentium Basic" panose="02000503060000020004" pitchFamily="2" charset="0"/>
                <a:ea typeface="+mn-ea"/>
                <a:cs typeface="+mn-cs"/>
              </a:defRPr>
            </a:pPr>
            <a:r>
              <a:rPr lang="en-US" sz="1200" b="1" i="0" u="none" strike="noStrike" cap="all" normalizeH="0" baseline="0">
                <a:effectLst/>
              </a:rPr>
              <a:t>instances of </a:t>
            </a:r>
            <a:r>
              <a:rPr lang="en-US" sz="1200"/>
              <a:t>Static marginal impact: SDG 7.1.1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ysClr val="windowText" lastClr="000000"/>
              </a:solidFill>
              <a:latin typeface="Gentium Basic" panose="0200050306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'Marginal Impacts (7.1.1)'!$B$35</c:f>
              <c:strCache>
                <c:ptCount val="1"/>
                <c:pt idx="0">
                  <c:v>Negative Impact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Gentium Basic" panose="0200050306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'Marginal Impacts (7.1.1)'!$A$36:$A$40</c:f>
              <c:strCache>
                <c:ptCount val="5"/>
                <c:pt idx="0">
                  <c:v>Electricity Generation</c:v>
                </c:pt>
                <c:pt idx="1">
                  <c:v>Financial Access</c:v>
                </c:pt>
                <c:pt idx="2">
                  <c:v>Rural Population Growth</c:v>
                </c:pt>
                <c:pt idx="3">
                  <c:v>Income Inequality</c:v>
                </c:pt>
                <c:pt idx="4">
                  <c:v>Health Expenditure</c:v>
                </c:pt>
              </c:strCache>
            </c:strRef>
          </c:cat>
          <c:val>
            <c:numRef>
              <c:f>'Marginal Impacts (7.1.1)'!$B$36:$B$40</c:f>
              <c:numCache>
                <c:formatCode>0.00%</c:formatCode>
                <c:ptCount val="5"/>
                <c:pt idx="0">
                  <c:v>0.9</c:v>
                </c:pt>
                <c:pt idx="1">
                  <c:v>0</c:v>
                </c:pt>
                <c:pt idx="2">
                  <c:v>0.96666666666666667</c:v>
                </c:pt>
                <c:pt idx="3">
                  <c:v>0.16666666666666666</c:v>
                </c:pt>
                <c:pt idx="4">
                  <c:v>6.6666666666666666E-2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C-4A56-93A2-99D71CFF8F7F}"/>
            </c:ext>
          </c:extLst>
        </c:ser>
        <c:ser>
          <c:idx val="1"/>
          <c:order val="1"/>
          <c:tx>
            <c:strRef>
              <c:f>'Marginal Impacts (7.1.1)'!$C$35</c:f>
              <c:strCache>
                <c:ptCount val="1"/>
                <c:pt idx="0">
                  <c:v>Positive Impact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Gentium Basic" panose="0200050306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'Marginal Impacts (7.1.1)'!$A$36:$A$40</c:f>
              <c:strCache>
                <c:ptCount val="5"/>
                <c:pt idx="0">
                  <c:v>Electricity Generation</c:v>
                </c:pt>
                <c:pt idx="1">
                  <c:v>Financial Access</c:v>
                </c:pt>
                <c:pt idx="2">
                  <c:v>Rural Population Growth</c:v>
                </c:pt>
                <c:pt idx="3">
                  <c:v>Income Inequality</c:v>
                </c:pt>
                <c:pt idx="4">
                  <c:v>Health Expenditure</c:v>
                </c:pt>
              </c:strCache>
            </c:strRef>
          </c:cat>
          <c:val>
            <c:numRef>
              <c:f>'Marginal Impacts (7.1.1)'!$C$36:$C$40</c:f>
              <c:numCache>
                <c:formatCode>0.00%</c:formatCode>
                <c:ptCount val="5"/>
                <c:pt idx="0">
                  <c:v>0.1</c:v>
                </c:pt>
                <c:pt idx="1">
                  <c:v>1</c:v>
                </c:pt>
                <c:pt idx="2">
                  <c:v>3.3333333333333333E-2</c:v>
                </c:pt>
                <c:pt idx="3">
                  <c:v>0.83333333333333337</c:v>
                </c:pt>
                <c:pt idx="4">
                  <c:v>0.93333333333333335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9C-4A56-93A2-99D71CFF8F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8184832"/>
        <c:axId val="48206048"/>
      </c:barChart>
      <c:catAx>
        <c:axId val="4818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ysClr val="windowText" lastClr="000000"/>
                </a:solidFill>
                <a:latin typeface="Gentium Basic" panose="02000503060000020004" pitchFamily="2" charset="0"/>
                <a:ea typeface="+mn-ea"/>
                <a:cs typeface="+mn-cs"/>
              </a:defRPr>
            </a:pPr>
            <a:endParaRPr lang="en-US"/>
          </a:p>
        </c:txPr>
        <c:crossAx val="48206048"/>
        <c:crosses val="autoZero"/>
        <c:auto val="1"/>
        <c:lblAlgn val="ctr"/>
        <c:lblOffset val="100"/>
        <c:noMultiLvlLbl val="0"/>
      </c:catAx>
      <c:valAx>
        <c:axId val="4820604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4818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Gentium Basic" panose="0200050306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Gentium Basic" panose="0200050306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320040</xdr:colOff>
      <xdr:row>1</xdr:row>
      <xdr:rowOff>30480</xdr:rowOff>
    </xdr:from>
    <xdr:to>
      <xdr:col>21</xdr:col>
      <xdr:colOff>0</xdr:colOff>
      <xdr:row>48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CA2AC1-36F1-E014-A002-376D136D1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266699</xdr:colOff>
      <xdr:row>2</xdr:row>
      <xdr:rowOff>109537</xdr:rowOff>
    </xdr:from>
    <xdr:to>
      <xdr:col>18</xdr:col>
      <xdr:colOff>142875</xdr:colOff>
      <xdr:row>30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F8F72B-1F0F-4D3A-BCE8-650774519D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266699</xdr:colOff>
      <xdr:row>2</xdr:row>
      <xdr:rowOff>109537</xdr:rowOff>
    </xdr:from>
    <xdr:to>
      <xdr:col>18</xdr:col>
      <xdr:colOff>142875</xdr:colOff>
      <xdr:row>30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28EB35-8C0F-408E-B394-7B70BD7E1E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266699</xdr:colOff>
      <xdr:row>2</xdr:row>
      <xdr:rowOff>109537</xdr:rowOff>
    </xdr:from>
    <xdr:to>
      <xdr:col>18</xdr:col>
      <xdr:colOff>142875</xdr:colOff>
      <xdr:row>30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AF52B4-9241-4AEE-B9A5-11F36BFF0F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266699</xdr:colOff>
      <xdr:row>2</xdr:row>
      <xdr:rowOff>109537</xdr:rowOff>
    </xdr:from>
    <xdr:to>
      <xdr:col>18</xdr:col>
      <xdr:colOff>142875</xdr:colOff>
      <xdr:row>30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FC08A8-27B8-4196-A07D-F46BA45F5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45A98-59E4-4E6F-8353-3F12B7451D7A}">
  <dimension ref="A1:D21"/>
  <sheetViews>
    <sheetView tabSelected="1" workbookViewId="0"/>
  </sheetViews>
  <sheetFormatPr defaultRowHeight="10.199999999999999" x14ac:dyDescent="0.2"/>
  <cols>
    <col min="1" max="1" width="8.88671875" style="12"/>
    <col min="2" max="2" width="28.44140625" style="12" bestFit="1" customWidth="1"/>
    <col min="3" max="3" width="14.44140625" style="12" bestFit="1" customWidth="1"/>
    <col min="4" max="4" width="13.5546875" style="12" bestFit="1" customWidth="1"/>
    <col min="5" max="16384" width="8.88671875" style="12"/>
  </cols>
  <sheetData>
    <row r="1" spans="1:4" x14ac:dyDescent="0.2">
      <c r="A1" s="13" t="s">
        <v>40</v>
      </c>
      <c r="B1" s="13" t="s">
        <v>41</v>
      </c>
      <c r="C1" s="13" t="s">
        <v>38</v>
      </c>
      <c r="D1" s="13" t="s">
        <v>39</v>
      </c>
    </row>
    <row r="2" spans="1:4" x14ac:dyDescent="0.2">
      <c r="A2" s="15" t="s">
        <v>42</v>
      </c>
      <c r="B2" s="13" t="s">
        <v>4</v>
      </c>
      <c r="C2" s="14">
        <v>0.9</v>
      </c>
      <c r="D2" s="14">
        <v>0.1</v>
      </c>
    </row>
    <row r="3" spans="1:4" x14ac:dyDescent="0.2">
      <c r="A3" s="15"/>
      <c r="B3" s="13" t="s">
        <v>3</v>
      </c>
      <c r="C3" s="14">
        <v>0</v>
      </c>
      <c r="D3" s="14">
        <v>1</v>
      </c>
    </row>
    <row r="4" spans="1:4" x14ac:dyDescent="0.2">
      <c r="A4" s="15"/>
      <c r="B4" s="13" t="s">
        <v>2</v>
      </c>
      <c r="C4" s="14">
        <v>0.96666666666666667</v>
      </c>
      <c r="D4" s="14">
        <v>3.3333333333333333E-2</v>
      </c>
    </row>
    <row r="5" spans="1:4" x14ac:dyDescent="0.2">
      <c r="A5" s="15"/>
      <c r="B5" s="13" t="s">
        <v>1</v>
      </c>
      <c r="C5" s="14">
        <v>0.16666666666666666</v>
      </c>
      <c r="D5" s="14">
        <v>0.83333333333333337</v>
      </c>
    </row>
    <row r="6" spans="1:4" x14ac:dyDescent="0.2">
      <c r="A6" s="15"/>
      <c r="B6" s="13" t="s">
        <v>0</v>
      </c>
      <c r="C6" s="14">
        <v>6.6666666666666666E-2</v>
      </c>
      <c r="D6" s="14">
        <v>0.93333333333333335</v>
      </c>
    </row>
    <row r="7" spans="1:4" x14ac:dyDescent="0.2">
      <c r="A7" s="15" t="s">
        <v>43</v>
      </c>
      <c r="B7" s="13" t="s">
        <v>25</v>
      </c>
      <c r="C7" s="14">
        <v>0.43333333333333335</v>
      </c>
      <c r="D7" s="14">
        <v>0.56666666666666665</v>
      </c>
    </row>
    <row r="8" spans="1:4" x14ac:dyDescent="0.2">
      <c r="A8" s="15"/>
      <c r="B8" s="13" t="s">
        <v>3</v>
      </c>
      <c r="C8" s="14">
        <v>0</v>
      </c>
      <c r="D8" s="14">
        <v>1</v>
      </c>
    </row>
    <row r="9" spans="1:4" x14ac:dyDescent="0.2">
      <c r="A9" s="15"/>
      <c r="B9" s="13" t="s">
        <v>26</v>
      </c>
      <c r="C9" s="14">
        <v>0.53333333333333333</v>
      </c>
      <c r="D9" s="14">
        <v>0.46666666666666667</v>
      </c>
    </row>
    <row r="10" spans="1:4" x14ac:dyDescent="0.2">
      <c r="A10" s="15"/>
      <c r="B10" s="13" t="s">
        <v>27</v>
      </c>
      <c r="C10" s="14">
        <v>0</v>
      </c>
      <c r="D10" s="14">
        <v>1</v>
      </c>
    </row>
    <row r="11" spans="1:4" x14ac:dyDescent="0.2">
      <c r="A11" s="15"/>
      <c r="B11" s="13" t="s">
        <v>28</v>
      </c>
      <c r="C11" s="14">
        <v>0.9</v>
      </c>
      <c r="D11" s="14">
        <v>0.1</v>
      </c>
    </row>
    <row r="12" spans="1:4" x14ac:dyDescent="0.2">
      <c r="A12" s="15" t="s">
        <v>44</v>
      </c>
      <c r="B12" s="1" t="s">
        <v>26</v>
      </c>
      <c r="C12" s="14">
        <v>0.16666666666666666</v>
      </c>
      <c r="D12" s="14">
        <v>0.83333333333333337</v>
      </c>
    </row>
    <row r="13" spans="1:4" x14ac:dyDescent="0.2">
      <c r="A13" s="15"/>
      <c r="B13" s="1" t="s">
        <v>30</v>
      </c>
      <c r="C13" s="14">
        <v>0.76666666666666672</v>
      </c>
      <c r="D13" s="14">
        <v>0.23333333333333334</v>
      </c>
    </row>
    <row r="14" spans="1:4" x14ac:dyDescent="0.2">
      <c r="A14" s="15"/>
      <c r="B14" s="1" t="s">
        <v>31</v>
      </c>
      <c r="C14" s="14">
        <v>0.1</v>
      </c>
      <c r="D14" s="14">
        <v>0.9</v>
      </c>
    </row>
    <row r="15" spans="1:4" x14ac:dyDescent="0.2">
      <c r="A15" s="15"/>
      <c r="B15" s="1" t="s">
        <v>32</v>
      </c>
      <c r="C15" s="14">
        <v>0</v>
      </c>
      <c r="D15" s="14">
        <v>1</v>
      </c>
    </row>
    <row r="16" spans="1:4" x14ac:dyDescent="0.2">
      <c r="A16" s="15"/>
      <c r="B16" s="1" t="s">
        <v>33</v>
      </c>
      <c r="C16" s="14">
        <v>1</v>
      </c>
      <c r="D16" s="14">
        <v>0</v>
      </c>
    </row>
    <row r="17" spans="1:4" x14ac:dyDescent="0.2">
      <c r="A17" s="15" t="s">
        <v>45</v>
      </c>
      <c r="B17" s="1" t="s">
        <v>26</v>
      </c>
      <c r="C17" s="14">
        <v>0.8666666666666667</v>
      </c>
      <c r="D17" s="14">
        <v>0.13333333333333333</v>
      </c>
    </row>
    <row r="18" spans="1:4" x14ac:dyDescent="0.2">
      <c r="A18" s="15"/>
      <c r="B18" s="1" t="s">
        <v>30</v>
      </c>
      <c r="C18" s="14">
        <v>0.7</v>
      </c>
      <c r="D18" s="14">
        <v>0.3</v>
      </c>
    </row>
    <row r="19" spans="1:4" x14ac:dyDescent="0.2">
      <c r="A19" s="15"/>
      <c r="B19" s="1" t="s">
        <v>35</v>
      </c>
      <c r="C19" s="14">
        <v>0.96666666666666667</v>
      </c>
      <c r="D19" s="14">
        <v>3.3333333333333333E-2</v>
      </c>
    </row>
    <row r="20" spans="1:4" x14ac:dyDescent="0.2">
      <c r="A20" s="15"/>
      <c r="B20" s="1" t="s">
        <v>36</v>
      </c>
      <c r="C20" s="14">
        <v>0</v>
      </c>
      <c r="D20" s="14">
        <v>1</v>
      </c>
    </row>
    <row r="21" spans="1:4" x14ac:dyDescent="0.2">
      <c r="A21" s="15"/>
      <c r="B21" s="1" t="s">
        <v>37</v>
      </c>
      <c r="C21" s="14">
        <v>0.8666666666666667</v>
      </c>
      <c r="D21" s="14">
        <v>0.13333333333333333</v>
      </c>
    </row>
  </sheetData>
  <mergeCells count="4">
    <mergeCell ref="A2:A6"/>
    <mergeCell ref="A7:A11"/>
    <mergeCell ref="A12:A16"/>
    <mergeCell ref="A17:A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6CDE7-BB08-48F1-832C-91AFE1ABCF09}">
  <dimension ref="A1:F40"/>
  <sheetViews>
    <sheetView workbookViewId="0"/>
  </sheetViews>
  <sheetFormatPr defaultColWidth="9.109375" defaultRowHeight="10.199999999999999" x14ac:dyDescent="0.2"/>
  <cols>
    <col min="1" max="1" width="21" style="1" bestFit="1" customWidth="1"/>
    <col min="2" max="16384" width="9.109375" style="1"/>
  </cols>
  <sheetData>
    <row r="1" spans="1:6" x14ac:dyDescent="0.2">
      <c r="B1" s="17" t="s">
        <v>34</v>
      </c>
      <c r="C1" s="17"/>
      <c r="D1" s="17"/>
      <c r="E1" s="17"/>
      <c r="F1" s="17"/>
    </row>
    <row r="2" spans="1:6" x14ac:dyDescent="0.2">
      <c r="B2" s="1" t="s">
        <v>17</v>
      </c>
      <c r="C2" s="1" t="s">
        <v>16</v>
      </c>
      <c r="D2" s="1" t="s">
        <v>23</v>
      </c>
      <c r="E2" s="1" t="s">
        <v>14</v>
      </c>
      <c r="F2" s="1" t="s">
        <v>13</v>
      </c>
    </row>
    <row r="3" spans="1:6" x14ac:dyDescent="0.2">
      <c r="A3" s="16" t="s">
        <v>12</v>
      </c>
      <c r="B3" s="3" t="str">
        <f>IF('Coefficients (7.3.1)'!B4&lt;0,"N","P")</f>
        <v>P</v>
      </c>
      <c r="C3" s="4" t="str">
        <f>IF('Coefficients (7.3.1)'!B12&lt;0,"N","P")</f>
        <v>N</v>
      </c>
      <c r="D3" s="4" t="str">
        <f>IF('Coefficients (7.3.1)'!B20&lt;0,"N","P")</f>
        <v>P</v>
      </c>
      <c r="E3" s="4" t="str">
        <f>IF('Coefficients (7.3.1)'!B28&lt;0,"N","P")</f>
        <v>N</v>
      </c>
      <c r="F3" s="5" t="str">
        <f>IF('Coefficients (7.3.1)'!B36&lt;0,"N","P")</f>
        <v>N</v>
      </c>
    </row>
    <row r="4" spans="1:6" x14ac:dyDescent="0.2">
      <c r="A4" s="16"/>
      <c r="B4" s="6" t="str">
        <f>IF('Coefficients (7.3.1)'!B5&lt;0,"N","P")</f>
        <v>P</v>
      </c>
      <c r="C4" s="1" t="str">
        <f>IF('Coefficients (7.3.1)'!B13&lt;0,"N","P")</f>
        <v>P</v>
      </c>
      <c r="D4" s="1" t="str">
        <f>IF('Coefficients (7.3.1)'!B21&lt;0,"N","P")</f>
        <v>N</v>
      </c>
      <c r="E4" s="1" t="str">
        <f>IF('Coefficients (7.3.1)'!B29&lt;0,"N","P")</f>
        <v>N</v>
      </c>
      <c r="F4" s="7" t="str">
        <f>IF('Coefficients (7.3.1)'!B37&lt;0,"N","P")</f>
        <v>P</v>
      </c>
    </row>
    <row r="5" spans="1:6" x14ac:dyDescent="0.2">
      <c r="A5" s="16"/>
      <c r="B5" s="6" t="str">
        <f>IF('Coefficients (7.3.1)'!B6&lt;0,"N","P")</f>
        <v>N</v>
      </c>
      <c r="C5" s="1" t="str">
        <f>IF('Coefficients (7.3.1)'!B14&lt;0,"N","P")</f>
        <v>N</v>
      </c>
      <c r="D5" s="1" t="str">
        <f>IF('Coefficients (7.3.1)'!B22&lt;0,"N","P")</f>
        <v>N</v>
      </c>
      <c r="E5" s="1" t="str">
        <f>IF('Coefficients (7.3.1)'!B30&lt;0,"N","P")</f>
        <v>N</v>
      </c>
      <c r="F5" s="7" t="str">
        <f>IF('Coefficients (7.3.1)'!B38&lt;0,"N","P")</f>
        <v>P</v>
      </c>
    </row>
    <row r="6" spans="1:6" x14ac:dyDescent="0.2">
      <c r="A6" s="16"/>
      <c r="B6" s="6" t="str">
        <f>IF('Coefficients (7.3.1)'!B7&lt;0,"N","P")</f>
        <v>P</v>
      </c>
      <c r="C6" s="1" t="str">
        <f>IF('Coefficients (7.3.1)'!B15&lt;0,"N","P")</f>
        <v>P</v>
      </c>
      <c r="D6" s="1" t="str">
        <f>IF('Coefficients (7.3.1)'!B23&lt;0,"N","P")</f>
        <v>P</v>
      </c>
      <c r="E6" s="1" t="str">
        <f>IF('Coefficients (7.3.1)'!B31&lt;0,"N","P")</f>
        <v>P</v>
      </c>
      <c r="F6" s="7" t="str">
        <f>IF('Coefficients (7.3.1)'!B39&lt;0,"N","P")</f>
        <v>P</v>
      </c>
    </row>
    <row r="7" spans="1:6" x14ac:dyDescent="0.2">
      <c r="A7" s="16"/>
      <c r="B7" s="8" t="str">
        <f>IF('Coefficients (7.3.1)'!B8&lt;0,"N","P")</f>
        <v>N</v>
      </c>
      <c r="C7" s="9" t="str">
        <f>IF('Coefficients (7.3.1)'!B16&lt;0,"N","P")</f>
        <v>N</v>
      </c>
      <c r="D7" s="9" t="str">
        <f>IF('Coefficients (7.3.1)'!B24&lt;0,"N","P")</f>
        <v>N</v>
      </c>
      <c r="E7" s="9" t="str">
        <f>IF('Coefficients (7.3.1)'!B32&lt;0,"N","P")</f>
        <v>N</v>
      </c>
      <c r="F7" s="10" t="str">
        <f>IF('Coefficients (7.3.1)'!B40&lt;0,"N","P")</f>
        <v>N</v>
      </c>
    </row>
    <row r="8" spans="1:6" x14ac:dyDescent="0.2">
      <c r="A8" s="16" t="s">
        <v>11</v>
      </c>
      <c r="B8" s="3" t="str">
        <f>IF('Coefficients (7.3.1)'!C4&lt;0,"N","P")</f>
        <v>N</v>
      </c>
      <c r="C8" s="4" t="str">
        <f>IF('Coefficients (7.3.1)'!C12&lt;0,"N","P")</f>
        <v>N</v>
      </c>
      <c r="D8" s="4" t="str">
        <f>IF('Coefficients (7.3.1)'!C20&lt;0,"N","P")</f>
        <v>N</v>
      </c>
      <c r="E8" s="4" t="str">
        <f>IF('Coefficients (7.3.1)'!C28&lt;0,"N","P")</f>
        <v>N</v>
      </c>
      <c r="F8" s="5" t="str">
        <f>IF('Coefficients (7.3.1)'!C36&lt;0,"N","P")</f>
        <v>N</v>
      </c>
    </row>
    <row r="9" spans="1:6" x14ac:dyDescent="0.2">
      <c r="A9" s="16"/>
      <c r="B9" s="6" t="str">
        <f>IF('Coefficients (7.3.1)'!C5&lt;0,"N","P")</f>
        <v>N</v>
      </c>
      <c r="C9" s="1" t="str">
        <f>IF('Coefficients (7.3.1)'!C13&lt;0,"N","P")</f>
        <v>N</v>
      </c>
      <c r="D9" s="1" t="str">
        <f>IF('Coefficients (7.3.1)'!C21&lt;0,"N","P")</f>
        <v>N</v>
      </c>
      <c r="E9" s="1" t="str">
        <f>IF('Coefficients (7.3.1)'!C29&lt;0,"N","P")</f>
        <v>N</v>
      </c>
      <c r="F9" s="7" t="str">
        <f>IF('Coefficients (7.3.1)'!C37&lt;0,"N","P")</f>
        <v>N</v>
      </c>
    </row>
    <row r="10" spans="1:6" x14ac:dyDescent="0.2">
      <c r="A10" s="16"/>
      <c r="B10" s="6" t="str">
        <f>IF('Coefficients (7.3.1)'!C6&lt;0,"N","P")</f>
        <v>N</v>
      </c>
      <c r="C10" s="1" t="str">
        <f>IF('Coefficients (7.3.1)'!C14&lt;0,"N","P")</f>
        <v>N</v>
      </c>
      <c r="D10" s="1" t="str">
        <f>IF('Coefficients (7.3.1)'!C22&lt;0,"N","P")</f>
        <v>N</v>
      </c>
      <c r="E10" s="1" t="str">
        <f>IF('Coefficients (7.3.1)'!C30&lt;0,"N","P")</f>
        <v>N</v>
      </c>
      <c r="F10" s="7" t="str">
        <f>IF('Coefficients (7.3.1)'!C38&lt;0,"N","P")</f>
        <v>N</v>
      </c>
    </row>
    <row r="11" spans="1:6" x14ac:dyDescent="0.2">
      <c r="A11" s="16"/>
      <c r="B11" s="6" t="str">
        <f>IF('Coefficients (7.3.1)'!C7&lt;0,"N","P")</f>
        <v>P</v>
      </c>
      <c r="C11" s="1" t="str">
        <f>IF('Coefficients (7.3.1)'!C15&lt;0,"N","P")</f>
        <v>P</v>
      </c>
      <c r="D11" s="1" t="str">
        <f>IF('Coefficients (7.3.1)'!C23&lt;0,"N","P")</f>
        <v>P</v>
      </c>
      <c r="E11" s="1" t="str">
        <f>IF('Coefficients (7.3.1)'!C31&lt;0,"N","P")</f>
        <v>P</v>
      </c>
      <c r="F11" s="7" t="str">
        <f>IF('Coefficients (7.3.1)'!C39&lt;0,"N","P")</f>
        <v>P</v>
      </c>
    </row>
    <row r="12" spans="1:6" x14ac:dyDescent="0.2">
      <c r="A12" s="16"/>
      <c r="B12" s="6" t="str">
        <f>IF('Coefficients (7.3.1)'!C8&lt;0,"N","P")</f>
        <v>P</v>
      </c>
      <c r="C12" s="1" t="str">
        <f>IF('Coefficients (7.3.1)'!C16&lt;0,"N","P")</f>
        <v>N</v>
      </c>
      <c r="D12" s="1" t="str">
        <f>IF('Coefficients (7.3.1)'!C24&lt;0,"N","P")</f>
        <v>P</v>
      </c>
      <c r="E12" s="1" t="str">
        <f>IF('Coefficients (7.3.1)'!C32&lt;0,"N","P")</f>
        <v>P</v>
      </c>
      <c r="F12" s="7" t="str">
        <f>IF('Coefficients (7.3.1)'!C40&lt;0,"N","P")</f>
        <v>P</v>
      </c>
    </row>
    <row r="13" spans="1:6" x14ac:dyDescent="0.2">
      <c r="A13" s="16" t="s">
        <v>10</v>
      </c>
      <c r="B13" s="3" t="str">
        <f>IF('Coefficients (7.3.1)'!D4&lt;0,"N","P")</f>
        <v>P</v>
      </c>
      <c r="C13" s="4" t="str">
        <f>IF('Coefficients (7.3.1)'!D12&lt;0,"N","P")</f>
        <v>N</v>
      </c>
      <c r="D13" s="4" t="str">
        <f>IF('Coefficients (7.3.1)'!D20&lt;0,"N","P")</f>
        <v>N</v>
      </c>
      <c r="E13" s="4" t="str">
        <f>IF('Coefficients (7.3.1)'!D28&lt;0,"N","P")</f>
        <v>N</v>
      </c>
      <c r="F13" s="5" t="str">
        <f>IF('Coefficients (7.3.1)'!D36&lt;0,"N","P")</f>
        <v>N</v>
      </c>
    </row>
    <row r="14" spans="1:6" x14ac:dyDescent="0.2">
      <c r="A14" s="16"/>
      <c r="B14" s="6" t="str">
        <f>IF('Coefficients (7.3.1)'!D5&lt;0,"N","P")</f>
        <v>N</v>
      </c>
      <c r="C14" s="1" t="str">
        <f>IF('Coefficients (7.3.1)'!D13&lt;0,"N","P")</f>
        <v>N</v>
      </c>
      <c r="D14" s="1" t="str">
        <f>IF('Coefficients (7.3.1)'!D21&lt;0,"N","P")</f>
        <v>N</v>
      </c>
      <c r="E14" s="1" t="str">
        <f>IF('Coefficients (7.3.1)'!D29&lt;0,"N","P")</f>
        <v>N</v>
      </c>
      <c r="F14" s="7" t="str">
        <f>IF('Coefficients (7.3.1)'!D37&lt;0,"N","P")</f>
        <v>N</v>
      </c>
    </row>
    <row r="15" spans="1:6" x14ac:dyDescent="0.2">
      <c r="A15" s="16"/>
      <c r="B15" s="6" t="str">
        <f>IF('Coefficients (7.3.1)'!D6&lt;0,"N","P")</f>
        <v>N</v>
      </c>
      <c r="C15" s="1" t="str">
        <f>IF('Coefficients (7.3.1)'!D14&lt;0,"N","P")</f>
        <v>N</v>
      </c>
      <c r="D15" s="1" t="str">
        <f>IF('Coefficients (7.3.1)'!D22&lt;0,"N","P")</f>
        <v>N</v>
      </c>
      <c r="E15" s="1" t="str">
        <f>IF('Coefficients (7.3.1)'!D30&lt;0,"N","P")</f>
        <v>N</v>
      </c>
      <c r="F15" s="7" t="str">
        <f>IF('Coefficients (7.3.1)'!D38&lt;0,"N","P")</f>
        <v>N</v>
      </c>
    </row>
    <row r="16" spans="1:6" x14ac:dyDescent="0.2">
      <c r="A16" s="16"/>
      <c r="B16" s="6" t="str">
        <f>IF('Coefficients (7.3.1)'!D7&lt;0,"N","P")</f>
        <v>P</v>
      </c>
      <c r="C16" s="1" t="str">
        <f>IF('Coefficients (7.3.1)'!D15&lt;0,"N","P")</f>
        <v>P</v>
      </c>
      <c r="D16" s="1" t="str">
        <f>IF('Coefficients (7.3.1)'!D23&lt;0,"N","P")</f>
        <v>P</v>
      </c>
      <c r="E16" s="1" t="str">
        <f>IF('Coefficients (7.3.1)'!D31&lt;0,"N","P")</f>
        <v>P</v>
      </c>
      <c r="F16" s="7" t="str">
        <f>IF('Coefficients (7.3.1)'!D39&lt;0,"N","P")</f>
        <v>P</v>
      </c>
    </row>
    <row r="17" spans="1:6" x14ac:dyDescent="0.2">
      <c r="A17" s="16"/>
      <c r="B17" s="8" t="str">
        <f>IF('Coefficients (7.3.1)'!D8&lt;0,"N","P")</f>
        <v>N</v>
      </c>
      <c r="C17" s="9" t="str">
        <f>IF('Coefficients (7.3.1)'!D16&lt;0,"N","P")</f>
        <v>N</v>
      </c>
      <c r="D17" s="9" t="str">
        <f>IF('Coefficients (7.3.1)'!D24&lt;0,"N","P")</f>
        <v>N</v>
      </c>
      <c r="E17" s="9" t="str">
        <f>IF('Coefficients (7.3.1)'!D32&lt;0,"N","P")</f>
        <v>N</v>
      </c>
      <c r="F17" s="10" t="str">
        <f>IF('Coefficients (7.3.1)'!D40&lt;0,"N","P")</f>
        <v>N</v>
      </c>
    </row>
    <row r="18" spans="1:6" x14ac:dyDescent="0.2">
      <c r="A18" s="16" t="s">
        <v>9</v>
      </c>
      <c r="B18" s="3" t="str">
        <f>IF('Coefficients (7.3.1)'!E4&lt;0,"N","P")</f>
        <v>N</v>
      </c>
      <c r="C18" s="4" t="str">
        <f>IF('Coefficients (7.3.1)'!E12&lt;0,"N","P")</f>
        <v>N</v>
      </c>
      <c r="D18" s="4" t="str">
        <f>IF('Coefficients (7.3.1)'!E20&lt;0,"N","P")</f>
        <v>N</v>
      </c>
      <c r="E18" s="4" t="str">
        <f>IF('Coefficients (7.3.1)'!E28&lt;0,"N","P")</f>
        <v>N</v>
      </c>
      <c r="F18" s="5" t="str">
        <f>IF('Coefficients (7.3.1)'!E36&lt;0,"N","P")</f>
        <v>N</v>
      </c>
    </row>
    <row r="19" spans="1:6" x14ac:dyDescent="0.2">
      <c r="A19" s="16"/>
      <c r="B19" s="6" t="str">
        <f>IF('Coefficients (7.3.1)'!E5&lt;0,"N","P")</f>
        <v>P</v>
      </c>
      <c r="C19" s="1" t="str">
        <f>IF('Coefficients (7.3.1)'!E13&lt;0,"N","P")</f>
        <v>N</v>
      </c>
      <c r="D19" s="1" t="str">
        <f>IF('Coefficients (7.3.1)'!E21&lt;0,"N","P")</f>
        <v>N</v>
      </c>
      <c r="E19" s="1" t="str">
        <f>IF('Coefficients (7.3.1)'!E29&lt;0,"N","P")</f>
        <v>N</v>
      </c>
      <c r="F19" s="7" t="str">
        <f>IF('Coefficients (7.3.1)'!E37&lt;0,"N","P")</f>
        <v>N</v>
      </c>
    </row>
    <row r="20" spans="1:6" x14ac:dyDescent="0.2">
      <c r="A20" s="16"/>
      <c r="B20" s="6" t="str">
        <f>IF('Coefficients (7.3.1)'!E6&lt;0,"N","P")</f>
        <v>N</v>
      </c>
      <c r="C20" s="1" t="str">
        <f>IF('Coefficients (7.3.1)'!E14&lt;0,"N","P")</f>
        <v>N</v>
      </c>
      <c r="D20" s="1" t="str">
        <f>IF('Coefficients (7.3.1)'!E22&lt;0,"N","P")</f>
        <v>N</v>
      </c>
      <c r="E20" s="1" t="str">
        <f>IF('Coefficients (7.3.1)'!E30&lt;0,"N","P")</f>
        <v>N</v>
      </c>
      <c r="F20" s="7" t="str">
        <f>IF('Coefficients (7.3.1)'!E38&lt;0,"N","P")</f>
        <v>N</v>
      </c>
    </row>
    <row r="21" spans="1:6" x14ac:dyDescent="0.2">
      <c r="A21" s="16"/>
      <c r="B21" s="6" t="str">
        <f>IF('Coefficients (7.3.1)'!E7&lt;0,"N","P")</f>
        <v>P</v>
      </c>
      <c r="C21" s="1" t="str">
        <f>IF('Coefficients (7.3.1)'!E15&lt;0,"N","P")</f>
        <v>P</v>
      </c>
      <c r="D21" s="1" t="str">
        <f>IF('Coefficients (7.3.1)'!E23&lt;0,"N","P")</f>
        <v>P</v>
      </c>
      <c r="E21" s="1" t="str">
        <f>IF('Coefficients (7.3.1)'!E31&lt;0,"N","P")</f>
        <v>P</v>
      </c>
      <c r="F21" s="7" t="str">
        <f>IF('Coefficients (7.3.1)'!E39&lt;0,"N","P")</f>
        <v>P</v>
      </c>
    </row>
    <row r="22" spans="1:6" x14ac:dyDescent="0.2">
      <c r="A22" s="16"/>
      <c r="B22" s="8" t="str">
        <f>IF('Coefficients (7.3.1)'!E8&lt;0,"N","P")</f>
        <v>N</v>
      </c>
      <c r="C22" s="9" t="str">
        <f>IF('Coefficients (7.3.1)'!E16&lt;0,"N","P")</f>
        <v>N</v>
      </c>
      <c r="D22" s="9" t="str">
        <f>IF('Coefficients (7.3.1)'!E24&lt;0,"N","P")</f>
        <v>N</v>
      </c>
      <c r="E22" s="9" t="str">
        <f>IF('Coefficients (7.3.1)'!E32&lt;0,"N","P")</f>
        <v>N</v>
      </c>
      <c r="F22" s="10" t="str">
        <f>IF('Coefficients (7.3.1)'!E40&lt;0,"N","P")</f>
        <v>N</v>
      </c>
    </row>
    <row r="23" spans="1:6" x14ac:dyDescent="0.2">
      <c r="A23" s="16" t="s">
        <v>8</v>
      </c>
      <c r="B23" s="3" t="str">
        <f>IF('Coefficients (7.3.1)'!F4&lt;0,"N","P")</f>
        <v>P</v>
      </c>
      <c r="C23" s="4" t="str">
        <f>IF('Coefficients (7.3.1)'!F12&lt;0,"N","P")</f>
        <v>N</v>
      </c>
      <c r="D23" s="4" t="str">
        <f>IF('Coefficients (7.3.1)'!F20&lt;0,"N","P")</f>
        <v>N</v>
      </c>
      <c r="E23" s="4" t="str">
        <f>IF('Coefficients (7.3.1)'!F28&lt;0,"N","P")</f>
        <v>N</v>
      </c>
      <c r="F23" s="5" t="str">
        <f>IF('Coefficients (7.3.1)'!F36&lt;0,"N","P")</f>
        <v>N</v>
      </c>
    </row>
    <row r="24" spans="1:6" x14ac:dyDescent="0.2">
      <c r="A24" s="16"/>
      <c r="B24" s="6" t="str">
        <f>IF('Coefficients (7.3.1)'!F5&lt;0,"N","P")</f>
        <v>P</v>
      </c>
      <c r="C24" s="1" t="str">
        <f>IF('Coefficients (7.3.1)'!F13&lt;0,"N","P")</f>
        <v>N</v>
      </c>
      <c r="D24" s="1" t="str">
        <f>IF('Coefficients (7.3.1)'!F21&lt;0,"N","P")</f>
        <v>N</v>
      </c>
      <c r="E24" s="1" t="str">
        <f>IF('Coefficients (7.3.1)'!F29&lt;0,"N","P")</f>
        <v>P</v>
      </c>
      <c r="F24" s="7" t="str">
        <f>IF('Coefficients (7.3.1)'!F37&lt;0,"N","P")</f>
        <v>P</v>
      </c>
    </row>
    <row r="25" spans="1:6" x14ac:dyDescent="0.2">
      <c r="A25" s="16"/>
      <c r="B25" s="6" t="str">
        <f>IF('Coefficients (7.3.1)'!F6&lt;0,"N","P")</f>
        <v>N</v>
      </c>
      <c r="C25" s="1" t="str">
        <f>IF('Coefficients (7.3.1)'!F14&lt;0,"N","P")</f>
        <v>N</v>
      </c>
      <c r="D25" s="1" t="str">
        <f>IF('Coefficients (7.3.1)'!F22&lt;0,"N","P")</f>
        <v>N</v>
      </c>
      <c r="E25" s="1" t="str">
        <f>IF('Coefficients (7.3.1)'!F30&lt;0,"N","P")</f>
        <v>N</v>
      </c>
      <c r="F25" s="7" t="str">
        <f>IF('Coefficients (7.3.1)'!F38&lt;0,"N","P")</f>
        <v>N</v>
      </c>
    </row>
    <row r="26" spans="1:6" x14ac:dyDescent="0.2">
      <c r="A26" s="16"/>
      <c r="B26" s="6" t="str">
        <f>IF('Coefficients (7.3.1)'!F7&lt;0,"N","P")</f>
        <v>P</v>
      </c>
      <c r="C26" s="1" t="str">
        <f>IF('Coefficients (7.3.1)'!F15&lt;0,"N","P")</f>
        <v>P</v>
      </c>
      <c r="D26" s="1" t="str">
        <f>IF('Coefficients (7.3.1)'!F23&lt;0,"N","P")</f>
        <v>P</v>
      </c>
      <c r="E26" s="1" t="str">
        <f>IF('Coefficients (7.3.1)'!F31&lt;0,"N","P")</f>
        <v>P</v>
      </c>
      <c r="F26" s="7" t="str">
        <f>IF('Coefficients (7.3.1)'!F39&lt;0,"N","P")</f>
        <v>P</v>
      </c>
    </row>
    <row r="27" spans="1:6" x14ac:dyDescent="0.2">
      <c r="A27" s="16"/>
      <c r="B27" s="8" t="str">
        <f>IF('Coefficients (7.3.1)'!F8&lt;0,"N","P")</f>
        <v>N</v>
      </c>
      <c r="C27" s="9" t="str">
        <f>IF('Coefficients (7.3.1)'!F16&lt;0,"N","P")</f>
        <v>N</v>
      </c>
      <c r="D27" s="9" t="str">
        <f>IF('Coefficients (7.3.1)'!F24&lt;0,"N","P")</f>
        <v>N</v>
      </c>
      <c r="E27" s="9" t="str">
        <f>IF('Coefficients (7.3.1)'!F32&lt;0,"N","P")</f>
        <v>N</v>
      </c>
      <c r="F27" s="10" t="str">
        <f>IF('Coefficients (7.3.1)'!F40&lt;0,"N","P")</f>
        <v>N</v>
      </c>
    </row>
    <row r="28" spans="1:6" x14ac:dyDescent="0.2">
      <c r="A28" s="16" t="s">
        <v>7</v>
      </c>
      <c r="B28" s="3" t="str">
        <f>IF('Coefficients (7.3.1)'!G4&lt;0,"N","P")</f>
        <v>N</v>
      </c>
      <c r="C28" s="4" t="str">
        <f>IF('Coefficients (7.3.1)'!G12&lt;0,"N","P")</f>
        <v>N</v>
      </c>
      <c r="D28" s="4" t="str">
        <f>IF('Coefficients (7.3.1)'!G20&lt;0,"N","P")</f>
        <v>N</v>
      </c>
      <c r="E28" s="4" t="str">
        <f>IF('Coefficients (7.3.1)'!G28&lt;0,"N","P")</f>
        <v>N</v>
      </c>
      <c r="F28" s="5" t="str">
        <f>IF('Coefficients (7.3.1)'!G36&lt;0,"N","P")</f>
        <v>N</v>
      </c>
    </row>
    <row r="29" spans="1:6" x14ac:dyDescent="0.2">
      <c r="A29" s="16"/>
      <c r="B29" s="6" t="str">
        <f>IF('Coefficients (7.3.1)'!G5&lt;0,"N","P")</f>
        <v>P</v>
      </c>
      <c r="C29" s="1" t="str">
        <f>IF('Coefficients (7.3.1)'!G13&lt;0,"N","P")</f>
        <v>P</v>
      </c>
      <c r="D29" s="1" t="str">
        <f>IF('Coefficients (7.3.1)'!G21&lt;0,"N","P")</f>
        <v>N</v>
      </c>
      <c r="E29" s="1" t="str">
        <f>IF('Coefficients (7.3.1)'!G29&lt;0,"N","P")</f>
        <v>N</v>
      </c>
      <c r="F29" s="7" t="str">
        <f>IF('Coefficients (7.3.1)'!G37&lt;0,"N","P")</f>
        <v>N</v>
      </c>
    </row>
    <row r="30" spans="1:6" x14ac:dyDescent="0.2">
      <c r="A30" s="16"/>
      <c r="B30" s="6" t="str">
        <f>IF('Coefficients (7.3.1)'!G6&lt;0,"N","P")</f>
        <v>N</v>
      </c>
      <c r="C30" s="1" t="str">
        <f>IF('Coefficients (7.3.1)'!G14&lt;0,"N","P")</f>
        <v>N</v>
      </c>
      <c r="D30" s="1" t="str">
        <f>IF('Coefficients (7.3.1)'!G22&lt;0,"N","P")</f>
        <v>N</v>
      </c>
      <c r="E30" s="1" t="str">
        <f>IF('Coefficients (7.3.1)'!G30&lt;0,"N","P")</f>
        <v>N</v>
      </c>
      <c r="F30" s="7" t="str">
        <f>IF('Coefficients (7.3.1)'!G38&lt;0,"N","P")</f>
        <v>N</v>
      </c>
    </row>
    <row r="31" spans="1:6" x14ac:dyDescent="0.2">
      <c r="A31" s="16"/>
      <c r="B31" s="6" t="str">
        <f>IF('Coefficients (7.3.1)'!G7&lt;0,"N","P")</f>
        <v>P</v>
      </c>
      <c r="C31" s="1" t="str">
        <f>IF('Coefficients (7.3.1)'!G15&lt;0,"N","P")</f>
        <v>P</v>
      </c>
      <c r="D31" s="1" t="str">
        <f>IF('Coefficients (7.3.1)'!G23&lt;0,"N","P")</f>
        <v>P</v>
      </c>
      <c r="E31" s="1" t="str">
        <f>IF('Coefficients (7.3.1)'!G31&lt;0,"N","P")</f>
        <v>P</v>
      </c>
      <c r="F31" s="7" t="str">
        <f>IF('Coefficients (7.3.1)'!G39&lt;0,"N","P")</f>
        <v>P</v>
      </c>
    </row>
    <row r="32" spans="1:6" x14ac:dyDescent="0.2">
      <c r="A32" s="16"/>
      <c r="B32" s="8" t="str">
        <f>IF('Coefficients (7.3.1)'!G8&lt;0,"N","P")</f>
        <v>N</v>
      </c>
      <c r="C32" s="9" t="str">
        <f>IF('Coefficients (7.3.1)'!G16&lt;0,"N","P")</f>
        <v>N</v>
      </c>
      <c r="D32" s="9" t="str">
        <f>IF('Coefficients (7.3.1)'!G24&lt;0,"N","P")</f>
        <v>N</v>
      </c>
      <c r="E32" s="9" t="str">
        <f>IF('Coefficients (7.3.1)'!G32&lt;0,"N","P")</f>
        <v>N</v>
      </c>
      <c r="F32" s="10" t="str">
        <f>IF('Coefficients (7.3.1)'!G40&lt;0,"N","P")</f>
        <v>N</v>
      </c>
    </row>
    <row r="35" spans="1:3" x14ac:dyDescent="0.2">
      <c r="B35" s="1" t="s">
        <v>38</v>
      </c>
      <c r="C35" s="1" t="s">
        <v>39</v>
      </c>
    </row>
    <row r="36" spans="1:3" x14ac:dyDescent="0.2">
      <c r="A36" s="1" t="s">
        <v>26</v>
      </c>
      <c r="B36" s="11">
        <f>(COUNTIF(B3:F3,"N")+COUNTIF(B8:F8,"N")+COUNTIF(B13:F13,"N")+COUNTIF(B18:F18,"N")+COUNTIF(B23:F23,"N")+COUNTIF(B28:F28,"N"))/30</f>
        <v>0.8666666666666667</v>
      </c>
      <c r="C36" s="11">
        <f>(COUNTIF(B3:F3,"P")+COUNTIF(B8:F8,"P")+COUNTIF(B13:F13,"P")+COUNTIF(B18:F18,"P")+COUNTIF(B23:F23,"P")+COUNTIF(B28:F28,"P"))/30</f>
        <v>0.13333333333333333</v>
      </c>
    </row>
    <row r="37" spans="1:3" x14ac:dyDescent="0.2">
      <c r="A37" s="1" t="s">
        <v>30</v>
      </c>
      <c r="B37" s="11">
        <f>(COUNTIF(B4:F4,"N")+COUNTIF(B9:F9,"N")+COUNTIF(B14:F14,"N")+COUNTIF(B19:F19,"N")+COUNTIF(B24:F24,"N")+COUNTIF(B29:F29,"N"))/30</f>
        <v>0.7</v>
      </c>
      <c r="C37" s="11">
        <f>(COUNTIF(B4:F4,"P")+COUNTIF(B9:F9,"P")+COUNTIF(B14:F14,"P")+COUNTIF(B19:F19,"P")+COUNTIF(B24:F24,"P")+COUNTIF(B29:F29,"P"))/30</f>
        <v>0.3</v>
      </c>
    </row>
    <row r="38" spans="1:3" x14ac:dyDescent="0.2">
      <c r="A38" s="1" t="s">
        <v>35</v>
      </c>
      <c r="B38" s="11">
        <f>(COUNTIF(B5:F5,"N")+COUNTIF(B10:F10,"N")+COUNTIF(B15:F15,"N")+COUNTIF(B20:F20,"N")+COUNTIF(B25:F25,"N")+COUNTIF(B30:F30,"N"))/30</f>
        <v>0.96666666666666667</v>
      </c>
      <c r="C38" s="11">
        <f>(COUNTIF(B5:F5,"P")+COUNTIF(B10:F10,"P")+COUNTIF(B15:F15,"P")+COUNTIF(B20:F20,"P")+COUNTIF(B25:F25,"P")+COUNTIF(B30:F30,"P"))/30</f>
        <v>3.3333333333333333E-2</v>
      </c>
    </row>
    <row r="39" spans="1:3" x14ac:dyDescent="0.2">
      <c r="A39" s="1" t="s">
        <v>36</v>
      </c>
      <c r="B39" s="11">
        <f>(COUNTIF(B6:F6,"N")+COUNTIF(B11:F11,"N")+COUNTIF(B16:F16,"N")+COUNTIF(B21:F21,"N")+COUNTIF(B26:F26,"N")+COUNTIF(B31:F31,"N"))/30</f>
        <v>0</v>
      </c>
      <c r="C39" s="11">
        <f>(COUNTIF(B6:F6,"P")+COUNTIF(B11:F11,"P")+COUNTIF(B16:F16,"P")+COUNTIF(B21:F21,"P")+COUNTIF(B26:F26,"P")+COUNTIF(B31:F31,"P"))/30</f>
        <v>1</v>
      </c>
    </row>
    <row r="40" spans="1:3" x14ac:dyDescent="0.2">
      <c r="A40" s="1" t="s">
        <v>37</v>
      </c>
      <c r="B40" s="11">
        <f>(COUNTIF(B7:F7,"N")+COUNTIF(B12:F12,"N")+COUNTIF(B17:F17,"N")+COUNTIF(B22:F22,"N")+COUNTIF(B27:F27,"N")+COUNTIF(B32:F32,"N"))/30</f>
        <v>0.8666666666666667</v>
      </c>
      <c r="C40" s="11">
        <f>(COUNTIF(B7:F7,"P")+COUNTIF(B12:F12,"P")+COUNTIF(B17:F17,"P")+COUNTIF(B22:F22,"P")+COUNTIF(B27:F27,"P")+COUNTIF(B32:F32,"P"))/30</f>
        <v>0.13333333333333333</v>
      </c>
    </row>
  </sheetData>
  <mergeCells count="7">
    <mergeCell ref="A28:A32"/>
    <mergeCell ref="B1:F1"/>
    <mergeCell ref="A3:A7"/>
    <mergeCell ref="A8:A12"/>
    <mergeCell ref="A13:A17"/>
    <mergeCell ref="A18:A22"/>
    <mergeCell ref="A23:A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291D0-53B0-4E86-8364-CE93466F0026}">
  <dimension ref="A1:F40"/>
  <sheetViews>
    <sheetView workbookViewId="0">
      <selection activeCell="A36" sqref="A36:A40"/>
    </sheetView>
  </sheetViews>
  <sheetFormatPr defaultColWidth="9.109375" defaultRowHeight="10.199999999999999" x14ac:dyDescent="0.2"/>
  <cols>
    <col min="1" max="1" width="21" style="1" bestFit="1" customWidth="1"/>
    <col min="2" max="16384" width="9.109375" style="1"/>
  </cols>
  <sheetData>
    <row r="1" spans="1:6" x14ac:dyDescent="0.2">
      <c r="B1" s="17" t="s">
        <v>29</v>
      </c>
      <c r="C1" s="17"/>
      <c r="D1" s="17"/>
      <c r="E1" s="17"/>
      <c r="F1" s="17"/>
    </row>
    <row r="2" spans="1:6" x14ac:dyDescent="0.2">
      <c r="B2" s="1" t="s">
        <v>17</v>
      </c>
      <c r="C2" s="1" t="s">
        <v>16</v>
      </c>
      <c r="D2" s="1" t="s">
        <v>23</v>
      </c>
      <c r="E2" s="1" t="s">
        <v>14</v>
      </c>
      <c r="F2" s="1" t="s">
        <v>13</v>
      </c>
    </row>
    <row r="3" spans="1:6" x14ac:dyDescent="0.2">
      <c r="A3" s="16" t="s">
        <v>12</v>
      </c>
      <c r="B3" s="3" t="str">
        <f>IF('Coefficients (7.2.1)'!B4&lt;0,"N","P")</f>
        <v>P</v>
      </c>
      <c r="C3" s="4" t="str">
        <f>IF('Coefficients (7.2.1)'!B12&lt;0,"N","P")</f>
        <v>P</v>
      </c>
      <c r="D3" s="4" t="str">
        <f>IF('Coefficients (7.2.1)'!B20&lt;0,"N","P")</f>
        <v>P</v>
      </c>
      <c r="E3" s="4" t="str">
        <f>IF('Coefficients (7.2.1)'!B28&lt;0,"N","P")</f>
        <v>P</v>
      </c>
      <c r="F3" s="5" t="str">
        <f>IF('Coefficients (7.2.1)'!B36&lt;0,"N","P")</f>
        <v>P</v>
      </c>
    </row>
    <row r="4" spans="1:6" x14ac:dyDescent="0.2">
      <c r="A4" s="16"/>
      <c r="B4" s="6" t="str">
        <f>IF('Coefficients (7.2.1)'!B5&lt;0,"N","P")</f>
        <v>N</v>
      </c>
      <c r="C4" s="1" t="str">
        <f>IF('Coefficients (7.2.1)'!B13&lt;0,"N","P")</f>
        <v>N</v>
      </c>
      <c r="D4" s="1" t="str">
        <f>IF('Coefficients (7.2.1)'!B21&lt;0,"N","P")</f>
        <v>N</v>
      </c>
      <c r="E4" s="1" t="str">
        <f>IF('Coefficients (7.2.1)'!B29&lt;0,"N","P")</f>
        <v>N</v>
      </c>
      <c r="F4" s="7" t="str">
        <f>IF('Coefficients (7.2.1)'!B37&lt;0,"N","P")</f>
        <v>N</v>
      </c>
    </row>
    <row r="5" spans="1:6" x14ac:dyDescent="0.2">
      <c r="A5" s="16"/>
      <c r="B5" s="6" t="str">
        <f>IF('Coefficients (7.2.1)'!B6&lt;0,"N","P")</f>
        <v>P</v>
      </c>
      <c r="C5" s="1" t="str">
        <f>IF('Coefficients (7.2.1)'!B14&lt;0,"N","P")</f>
        <v>P</v>
      </c>
      <c r="D5" s="1" t="str">
        <f>IF('Coefficients (7.2.1)'!B22&lt;0,"N","P")</f>
        <v>P</v>
      </c>
      <c r="E5" s="1" t="str">
        <f>IF('Coefficients (7.2.1)'!B30&lt;0,"N","P")</f>
        <v>P</v>
      </c>
      <c r="F5" s="7" t="str">
        <f>IF('Coefficients (7.2.1)'!B38&lt;0,"N","P")</f>
        <v>P</v>
      </c>
    </row>
    <row r="6" spans="1:6" x14ac:dyDescent="0.2">
      <c r="A6" s="16"/>
      <c r="B6" s="6" t="str">
        <f>IF('Coefficients (7.2.1)'!B7&lt;0,"N","P")</f>
        <v>P</v>
      </c>
      <c r="C6" s="1" t="str">
        <f>IF('Coefficients (7.2.1)'!B15&lt;0,"N","P")</f>
        <v>P</v>
      </c>
      <c r="D6" s="1" t="str">
        <f>IF('Coefficients (7.2.1)'!B23&lt;0,"N","P")</f>
        <v>P</v>
      </c>
      <c r="E6" s="1" t="str">
        <f>IF('Coefficients (7.2.1)'!B31&lt;0,"N","P")</f>
        <v>P</v>
      </c>
      <c r="F6" s="7" t="str">
        <f>IF('Coefficients (7.2.1)'!B39&lt;0,"N","P")</f>
        <v>P</v>
      </c>
    </row>
    <row r="7" spans="1:6" x14ac:dyDescent="0.2">
      <c r="A7" s="16"/>
      <c r="B7" s="8" t="str">
        <f>IF('Coefficients (7.2.1)'!B8&lt;0,"N","P")</f>
        <v>N</v>
      </c>
      <c r="C7" s="9" t="str">
        <f>IF('Coefficients (7.2.1)'!B16&lt;0,"N","P")</f>
        <v>N</v>
      </c>
      <c r="D7" s="9" t="str">
        <f>IF('Coefficients (7.2.1)'!B24&lt;0,"N","P")</f>
        <v>N</v>
      </c>
      <c r="E7" s="9" t="str">
        <f>IF('Coefficients (7.2.1)'!B32&lt;0,"N","P")</f>
        <v>N</v>
      </c>
      <c r="F7" s="10" t="str">
        <f>IF('Coefficients (7.2.1)'!B40&lt;0,"N","P")</f>
        <v>N</v>
      </c>
    </row>
    <row r="8" spans="1:6" x14ac:dyDescent="0.2">
      <c r="A8" s="16" t="s">
        <v>11</v>
      </c>
      <c r="B8" s="3" t="str">
        <f>IF('Coefficients (7.2.1)'!C4&lt;0,"N","P")</f>
        <v>P</v>
      </c>
      <c r="C8" s="4" t="str">
        <f>IF('Coefficients (7.2.1)'!C12&lt;0,"N","P")</f>
        <v>P</v>
      </c>
      <c r="D8" s="4" t="str">
        <f>IF('Coefficients (7.2.1)'!C20&lt;0,"N","P")</f>
        <v>P</v>
      </c>
      <c r="E8" s="4" t="str">
        <f>IF('Coefficients (7.2.1)'!C28&lt;0,"N","P")</f>
        <v>P</v>
      </c>
      <c r="F8" s="5" t="str">
        <f>IF('Coefficients (7.2.1)'!C36&lt;0,"N","P")</f>
        <v>P</v>
      </c>
    </row>
    <row r="9" spans="1:6" x14ac:dyDescent="0.2">
      <c r="A9" s="16"/>
      <c r="B9" s="6" t="str">
        <f>IF('Coefficients (7.2.1)'!C5&lt;0,"N","P")</f>
        <v>N</v>
      </c>
      <c r="C9" s="1" t="str">
        <f>IF('Coefficients (7.2.1)'!C13&lt;0,"N","P")</f>
        <v>P</v>
      </c>
      <c r="D9" s="1" t="str">
        <f>IF('Coefficients (7.2.1)'!C21&lt;0,"N","P")</f>
        <v>N</v>
      </c>
      <c r="E9" s="1" t="str">
        <f>IF('Coefficients (7.2.1)'!C29&lt;0,"N","P")</f>
        <v>N</v>
      </c>
      <c r="F9" s="7" t="str">
        <f>IF('Coefficients (7.2.1)'!C37&lt;0,"N","P")</f>
        <v>P</v>
      </c>
    </row>
    <row r="10" spans="1:6" x14ac:dyDescent="0.2">
      <c r="A10" s="16"/>
      <c r="B10" s="6" t="str">
        <f>IF('Coefficients (7.2.1)'!C6&lt;0,"N","P")</f>
        <v>N</v>
      </c>
      <c r="C10" s="1" t="str">
        <f>IF('Coefficients (7.2.1)'!C14&lt;0,"N","P")</f>
        <v>P</v>
      </c>
      <c r="D10" s="1" t="str">
        <f>IF('Coefficients (7.2.1)'!C22&lt;0,"N","P")</f>
        <v>P</v>
      </c>
      <c r="E10" s="1" t="str">
        <f>IF('Coefficients (7.2.1)'!C30&lt;0,"N","P")</f>
        <v>P</v>
      </c>
      <c r="F10" s="7" t="str">
        <f>IF('Coefficients (7.2.1)'!C38&lt;0,"N","P")</f>
        <v>P</v>
      </c>
    </row>
    <row r="11" spans="1:6" x14ac:dyDescent="0.2">
      <c r="A11" s="16"/>
      <c r="B11" s="6" t="str">
        <f>IF('Coefficients (7.2.1)'!C7&lt;0,"N","P")</f>
        <v>P</v>
      </c>
      <c r="C11" s="1" t="str">
        <f>IF('Coefficients (7.2.1)'!C15&lt;0,"N","P")</f>
        <v>P</v>
      </c>
      <c r="D11" s="1" t="str">
        <f>IF('Coefficients (7.2.1)'!C23&lt;0,"N","P")</f>
        <v>P</v>
      </c>
      <c r="E11" s="1" t="str">
        <f>IF('Coefficients (7.2.1)'!C31&lt;0,"N","P")</f>
        <v>P</v>
      </c>
      <c r="F11" s="7" t="str">
        <f>IF('Coefficients (7.2.1)'!C39&lt;0,"N","P")</f>
        <v>P</v>
      </c>
    </row>
    <row r="12" spans="1:6" x14ac:dyDescent="0.2">
      <c r="A12" s="16"/>
      <c r="B12" s="6" t="str">
        <f>IF('Coefficients (7.2.1)'!C8&lt;0,"N","P")</f>
        <v>N</v>
      </c>
      <c r="C12" s="1" t="str">
        <f>IF('Coefficients (7.2.1)'!C16&lt;0,"N","P")</f>
        <v>N</v>
      </c>
      <c r="D12" s="1" t="str">
        <f>IF('Coefficients (7.2.1)'!C24&lt;0,"N","P")</f>
        <v>N</v>
      </c>
      <c r="E12" s="1" t="str">
        <f>IF('Coefficients (7.2.1)'!C32&lt;0,"N","P")</f>
        <v>N</v>
      </c>
      <c r="F12" s="7" t="str">
        <f>IF('Coefficients (7.2.1)'!C40&lt;0,"N","P")</f>
        <v>N</v>
      </c>
    </row>
    <row r="13" spans="1:6" x14ac:dyDescent="0.2">
      <c r="A13" s="16" t="s">
        <v>10</v>
      </c>
      <c r="B13" s="3" t="str">
        <f>IF('Coefficients (7.2.1)'!D4&lt;0,"N","P")</f>
        <v>P</v>
      </c>
      <c r="C13" s="4" t="str">
        <f>IF('Coefficients (7.2.1)'!D12&lt;0,"N","P")</f>
        <v>P</v>
      </c>
      <c r="D13" s="4" t="str">
        <f>IF('Coefficients (7.2.1)'!D20&lt;0,"N","P")</f>
        <v>N</v>
      </c>
      <c r="E13" s="4" t="str">
        <f>IF('Coefficients (7.2.1)'!D28&lt;0,"N","P")</f>
        <v>P</v>
      </c>
      <c r="F13" s="5" t="str">
        <f>IF('Coefficients (7.2.1)'!D36&lt;0,"N","P")</f>
        <v>P</v>
      </c>
    </row>
    <row r="14" spans="1:6" x14ac:dyDescent="0.2">
      <c r="A14" s="16"/>
      <c r="B14" s="6" t="str">
        <f>IF('Coefficients (7.2.1)'!D5&lt;0,"N","P")</f>
        <v>N</v>
      </c>
      <c r="C14" s="1" t="str">
        <f>IF('Coefficients (7.2.1)'!D13&lt;0,"N","P")</f>
        <v>N</v>
      </c>
      <c r="D14" s="1" t="str">
        <f>IF('Coefficients (7.2.1)'!D21&lt;0,"N","P")</f>
        <v>N</v>
      </c>
      <c r="E14" s="1" t="str">
        <f>IF('Coefficients (7.2.1)'!D29&lt;0,"N","P")</f>
        <v>N</v>
      </c>
      <c r="F14" s="7" t="str">
        <f>IF('Coefficients (7.2.1)'!D37&lt;0,"N","P")</f>
        <v>N</v>
      </c>
    </row>
    <row r="15" spans="1:6" x14ac:dyDescent="0.2">
      <c r="A15" s="16"/>
      <c r="B15" s="6" t="str">
        <f>IF('Coefficients (7.2.1)'!D6&lt;0,"N","P")</f>
        <v>N</v>
      </c>
      <c r="C15" s="1" t="str">
        <f>IF('Coefficients (7.2.1)'!D14&lt;0,"N","P")</f>
        <v>P</v>
      </c>
      <c r="D15" s="1" t="str">
        <f>IF('Coefficients (7.2.1)'!D22&lt;0,"N","P")</f>
        <v>P</v>
      </c>
      <c r="E15" s="1" t="str">
        <f>IF('Coefficients (7.2.1)'!D30&lt;0,"N","P")</f>
        <v>P</v>
      </c>
      <c r="F15" s="7" t="str">
        <f>IF('Coefficients (7.2.1)'!D38&lt;0,"N","P")</f>
        <v>P</v>
      </c>
    </row>
    <row r="16" spans="1:6" x14ac:dyDescent="0.2">
      <c r="A16" s="16"/>
      <c r="B16" s="6" t="str">
        <f>IF('Coefficients (7.2.1)'!D7&lt;0,"N","P")</f>
        <v>P</v>
      </c>
      <c r="C16" s="1" t="str">
        <f>IF('Coefficients (7.2.1)'!D15&lt;0,"N","P")</f>
        <v>P</v>
      </c>
      <c r="D16" s="1" t="str">
        <f>IF('Coefficients (7.2.1)'!D23&lt;0,"N","P")</f>
        <v>P</v>
      </c>
      <c r="E16" s="1" t="str">
        <f>IF('Coefficients (7.2.1)'!D31&lt;0,"N","P")</f>
        <v>P</v>
      </c>
      <c r="F16" s="7" t="str">
        <f>IF('Coefficients (7.2.1)'!D39&lt;0,"N","P")</f>
        <v>P</v>
      </c>
    </row>
    <row r="17" spans="1:6" x14ac:dyDescent="0.2">
      <c r="A17" s="16"/>
      <c r="B17" s="8" t="str">
        <f>IF('Coefficients (7.2.1)'!D8&lt;0,"N","P")</f>
        <v>N</v>
      </c>
      <c r="C17" s="9" t="str">
        <f>IF('Coefficients (7.2.1)'!D16&lt;0,"N","P")</f>
        <v>N</v>
      </c>
      <c r="D17" s="9" t="str">
        <f>IF('Coefficients (7.2.1)'!D24&lt;0,"N","P")</f>
        <v>N</v>
      </c>
      <c r="E17" s="9" t="str">
        <f>IF('Coefficients (7.2.1)'!D32&lt;0,"N","P")</f>
        <v>N</v>
      </c>
      <c r="F17" s="10" t="str">
        <f>IF('Coefficients (7.2.1)'!D40&lt;0,"N","P")</f>
        <v>N</v>
      </c>
    </row>
    <row r="18" spans="1:6" x14ac:dyDescent="0.2">
      <c r="A18" s="16" t="s">
        <v>9</v>
      </c>
      <c r="B18" s="3" t="str">
        <f>IF('Coefficients (7.2.1)'!E4&lt;0,"N","P")</f>
        <v>P</v>
      </c>
      <c r="C18" s="4" t="str">
        <f>IF('Coefficients (7.2.1)'!E12&lt;0,"N","P")</f>
        <v>P</v>
      </c>
      <c r="D18" s="4" t="str">
        <f>IF('Coefficients (7.2.1)'!E20&lt;0,"N","P")</f>
        <v>P</v>
      </c>
      <c r="E18" s="4" t="str">
        <f>IF('Coefficients (7.2.1)'!E28&lt;0,"N","P")</f>
        <v>P</v>
      </c>
      <c r="F18" s="5" t="str">
        <f>IF('Coefficients (7.2.1)'!E36&lt;0,"N","P")</f>
        <v>P</v>
      </c>
    </row>
    <row r="19" spans="1:6" x14ac:dyDescent="0.2">
      <c r="A19" s="16"/>
      <c r="B19" s="6" t="str">
        <f>IF('Coefficients (7.2.1)'!E5&lt;0,"N","P")</f>
        <v>N</v>
      </c>
      <c r="C19" s="1" t="str">
        <f>IF('Coefficients (7.2.1)'!E13&lt;0,"N","P")</f>
        <v>N</v>
      </c>
      <c r="D19" s="1" t="str">
        <f>IF('Coefficients (7.2.1)'!E21&lt;0,"N","P")</f>
        <v>N</v>
      </c>
      <c r="E19" s="1" t="str">
        <f>IF('Coefficients (7.2.1)'!E29&lt;0,"N","P")</f>
        <v>N</v>
      </c>
      <c r="F19" s="7" t="str">
        <f>IF('Coefficients (7.2.1)'!E37&lt;0,"N","P")</f>
        <v>N</v>
      </c>
    </row>
    <row r="20" spans="1:6" x14ac:dyDescent="0.2">
      <c r="A20" s="16"/>
      <c r="B20" s="6" t="str">
        <f>IF('Coefficients (7.2.1)'!E6&lt;0,"N","P")</f>
        <v>N</v>
      </c>
      <c r="C20" s="1" t="str">
        <f>IF('Coefficients (7.2.1)'!E14&lt;0,"N","P")</f>
        <v>P</v>
      </c>
      <c r="D20" s="1" t="str">
        <f>IF('Coefficients (7.2.1)'!E22&lt;0,"N","P")</f>
        <v>P</v>
      </c>
      <c r="E20" s="1" t="str">
        <f>IF('Coefficients (7.2.1)'!E30&lt;0,"N","P")</f>
        <v>P</v>
      </c>
      <c r="F20" s="7" t="str">
        <f>IF('Coefficients (7.2.1)'!E38&lt;0,"N","P")</f>
        <v>P</v>
      </c>
    </row>
    <row r="21" spans="1:6" x14ac:dyDescent="0.2">
      <c r="A21" s="16"/>
      <c r="B21" s="6" t="str">
        <f>IF('Coefficients (7.2.1)'!E7&lt;0,"N","P")</f>
        <v>P</v>
      </c>
      <c r="C21" s="1" t="str">
        <f>IF('Coefficients (7.2.1)'!E15&lt;0,"N","P")</f>
        <v>P</v>
      </c>
      <c r="D21" s="1" t="str">
        <f>IF('Coefficients (7.2.1)'!E23&lt;0,"N","P")</f>
        <v>P</v>
      </c>
      <c r="E21" s="1" t="str">
        <f>IF('Coefficients (7.2.1)'!E31&lt;0,"N","P")</f>
        <v>P</v>
      </c>
      <c r="F21" s="7" t="str">
        <f>IF('Coefficients (7.2.1)'!E39&lt;0,"N","P")</f>
        <v>P</v>
      </c>
    </row>
    <row r="22" spans="1:6" x14ac:dyDescent="0.2">
      <c r="A22" s="16"/>
      <c r="B22" s="8" t="str">
        <f>IF('Coefficients (7.2.1)'!E8&lt;0,"N","P")</f>
        <v>N</v>
      </c>
      <c r="C22" s="9" t="str">
        <f>IF('Coefficients (7.2.1)'!E16&lt;0,"N","P")</f>
        <v>N</v>
      </c>
      <c r="D22" s="9" t="str">
        <f>IF('Coefficients (7.2.1)'!E24&lt;0,"N","P")</f>
        <v>N</v>
      </c>
      <c r="E22" s="9" t="str">
        <f>IF('Coefficients (7.2.1)'!E32&lt;0,"N","P")</f>
        <v>N</v>
      </c>
      <c r="F22" s="10" t="str">
        <f>IF('Coefficients (7.2.1)'!E40&lt;0,"N","P")</f>
        <v>N</v>
      </c>
    </row>
    <row r="23" spans="1:6" x14ac:dyDescent="0.2">
      <c r="A23" s="16" t="s">
        <v>8</v>
      </c>
      <c r="B23" s="3" t="str">
        <f>IF('Coefficients (7.2.1)'!F4&lt;0,"N","P")</f>
        <v>P</v>
      </c>
      <c r="C23" s="4" t="str">
        <f>IF('Coefficients (7.2.1)'!F12&lt;0,"N","P")</f>
        <v>N</v>
      </c>
      <c r="D23" s="4" t="str">
        <f>IF('Coefficients (7.2.1)'!F20&lt;0,"N","P")</f>
        <v>N</v>
      </c>
      <c r="E23" s="4" t="str">
        <f>IF('Coefficients (7.2.1)'!F28&lt;0,"N","P")</f>
        <v>P</v>
      </c>
      <c r="F23" s="5" t="str">
        <f>IF('Coefficients (7.2.1)'!F36&lt;0,"N","P")</f>
        <v>P</v>
      </c>
    </row>
    <row r="24" spans="1:6" x14ac:dyDescent="0.2">
      <c r="A24" s="16"/>
      <c r="B24" s="6" t="str">
        <f>IF('Coefficients (7.2.1)'!F5&lt;0,"N","P")</f>
        <v>P</v>
      </c>
      <c r="C24" s="1" t="str">
        <f>IF('Coefficients (7.2.1)'!F13&lt;0,"N","P")</f>
        <v>P</v>
      </c>
      <c r="D24" s="1" t="str">
        <f>IF('Coefficients (7.2.1)'!F21&lt;0,"N","P")</f>
        <v>P</v>
      </c>
      <c r="E24" s="1" t="str">
        <f>IF('Coefficients (7.2.1)'!F29&lt;0,"N","P")</f>
        <v>N</v>
      </c>
      <c r="F24" s="7" t="str">
        <f>IF('Coefficients (7.2.1)'!F37&lt;0,"N","P")</f>
        <v>N</v>
      </c>
    </row>
    <row r="25" spans="1:6" x14ac:dyDescent="0.2">
      <c r="A25" s="16"/>
      <c r="B25" s="6" t="str">
        <f>IF('Coefficients (7.2.1)'!F6&lt;0,"N","P")</f>
        <v>P</v>
      </c>
      <c r="C25" s="1" t="str">
        <f>IF('Coefficients (7.2.1)'!F14&lt;0,"N","P")</f>
        <v>P</v>
      </c>
      <c r="D25" s="1" t="str">
        <f>IF('Coefficients (7.2.1)'!F22&lt;0,"N","P")</f>
        <v>P</v>
      </c>
      <c r="E25" s="1" t="str">
        <f>IF('Coefficients (7.2.1)'!F30&lt;0,"N","P")</f>
        <v>P</v>
      </c>
      <c r="F25" s="7" t="str">
        <f>IF('Coefficients (7.2.1)'!F38&lt;0,"N","P")</f>
        <v>P</v>
      </c>
    </row>
    <row r="26" spans="1:6" x14ac:dyDescent="0.2">
      <c r="A26" s="16"/>
      <c r="B26" s="6" t="str">
        <f>IF('Coefficients (7.2.1)'!F7&lt;0,"N","P")</f>
        <v>P</v>
      </c>
      <c r="C26" s="1" t="str">
        <f>IF('Coefficients (7.2.1)'!F15&lt;0,"N","P")</f>
        <v>P</v>
      </c>
      <c r="D26" s="1" t="str">
        <f>IF('Coefficients (7.2.1)'!F23&lt;0,"N","P")</f>
        <v>P</v>
      </c>
      <c r="E26" s="1" t="str">
        <f>IF('Coefficients (7.2.1)'!F31&lt;0,"N","P")</f>
        <v>P</v>
      </c>
      <c r="F26" s="7" t="str">
        <f>IF('Coefficients (7.2.1)'!F39&lt;0,"N","P")</f>
        <v>P</v>
      </c>
    </row>
    <row r="27" spans="1:6" x14ac:dyDescent="0.2">
      <c r="A27" s="16"/>
      <c r="B27" s="8" t="str">
        <f>IF('Coefficients (7.2.1)'!F8&lt;0,"N","P")</f>
        <v>N</v>
      </c>
      <c r="C27" s="9" t="str">
        <f>IF('Coefficients (7.2.1)'!F16&lt;0,"N","P")</f>
        <v>N</v>
      </c>
      <c r="D27" s="9" t="str">
        <f>IF('Coefficients (7.2.1)'!F24&lt;0,"N","P")</f>
        <v>N</v>
      </c>
      <c r="E27" s="9" t="str">
        <f>IF('Coefficients (7.2.1)'!F32&lt;0,"N","P")</f>
        <v>N</v>
      </c>
      <c r="F27" s="10" t="str">
        <f>IF('Coefficients (7.2.1)'!F40&lt;0,"N","P")</f>
        <v>N</v>
      </c>
    </row>
    <row r="28" spans="1:6" x14ac:dyDescent="0.2">
      <c r="A28" s="16" t="s">
        <v>7</v>
      </c>
      <c r="B28" s="3" t="str">
        <f>IF('Coefficients (7.2.1)'!G4&lt;0,"N","P")</f>
        <v>P</v>
      </c>
      <c r="C28" s="4" t="str">
        <f>IF('Coefficients (7.2.1)'!G12&lt;0,"N","P")</f>
        <v>N</v>
      </c>
      <c r="D28" s="4" t="str">
        <f>IF('Coefficients (7.2.1)'!G20&lt;0,"N","P")</f>
        <v>N</v>
      </c>
      <c r="E28" s="4" t="str">
        <f>IF('Coefficients (7.2.1)'!G28&lt;0,"N","P")</f>
        <v>P</v>
      </c>
      <c r="F28" s="5" t="str">
        <f>IF('Coefficients (7.2.1)'!G36&lt;0,"N","P")</f>
        <v>P</v>
      </c>
    </row>
    <row r="29" spans="1:6" x14ac:dyDescent="0.2">
      <c r="A29" s="16"/>
      <c r="B29" s="6" t="str">
        <f>IF('Coefficients (7.2.1)'!G5&lt;0,"N","P")</f>
        <v>P</v>
      </c>
      <c r="C29" s="1" t="str">
        <f>IF('Coefficients (7.2.1)'!G13&lt;0,"N","P")</f>
        <v>N</v>
      </c>
      <c r="D29" s="1" t="str">
        <f>IF('Coefficients (7.2.1)'!G21&lt;0,"N","P")</f>
        <v>N</v>
      </c>
      <c r="E29" s="1" t="str">
        <f>IF('Coefficients (7.2.1)'!G29&lt;0,"N","P")</f>
        <v>N</v>
      </c>
      <c r="F29" s="7" t="str">
        <f>IF('Coefficients (7.2.1)'!G37&lt;0,"N","P")</f>
        <v>P</v>
      </c>
    </row>
    <row r="30" spans="1:6" x14ac:dyDescent="0.2">
      <c r="A30" s="16"/>
      <c r="B30" s="6" t="str">
        <f>IF('Coefficients (7.2.1)'!G6&lt;0,"N","P")</f>
        <v>P</v>
      </c>
      <c r="C30" s="1" t="str">
        <f>IF('Coefficients (7.2.1)'!G14&lt;0,"N","P")</f>
        <v>P</v>
      </c>
      <c r="D30" s="1" t="str">
        <f>IF('Coefficients (7.2.1)'!G22&lt;0,"N","P")</f>
        <v>P</v>
      </c>
      <c r="E30" s="1" t="str">
        <f>IF('Coefficients (7.2.1)'!G30&lt;0,"N","P")</f>
        <v>P</v>
      </c>
      <c r="F30" s="7" t="str">
        <f>IF('Coefficients (7.2.1)'!G38&lt;0,"N","P")</f>
        <v>P</v>
      </c>
    </row>
    <row r="31" spans="1:6" x14ac:dyDescent="0.2">
      <c r="A31" s="16"/>
      <c r="B31" s="6" t="str">
        <f>IF('Coefficients (7.2.1)'!G7&lt;0,"N","P")</f>
        <v>P</v>
      </c>
      <c r="C31" s="1" t="str">
        <f>IF('Coefficients (7.2.1)'!G15&lt;0,"N","P")</f>
        <v>P</v>
      </c>
      <c r="D31" s="1" t="str">
        <f>IF('Coefficients (7.2.1)'!G23&lt;0,"N","P")</f>
        <v>P</v>
      </c>
      <c r="E31" s="1" t="str">
        <f>IF('Coefficients (7.2.1)'!G31&lt;0,"N","P")</f>
        <v>P</v>
      </c>
      <c r="F31" s="7" t="str">
        <f>IF('Coefficients (7.2.1)'!G39&lt;0,"N","P")</f>
        <v>P</v>
      </c>
    </row>
    <row r="32" spans="1:6" x14ac:dyDescent="0.2">
      <c r="A32" s="16"/>
      <c r="B32" s="8" t="str">
        <f>IF('Coefficients (7.2.1)'!G8&lt;0,"N","P")</f>
        <v>N</v>
      </c>
      <c r="C32" s="9" t="str">
        <f>IF('Coefficients (7.2.1)'!G16&lt;0,"N","P")</f>
        <v>N</v>
      </c>
      <c r="D32" s="9" t="str">
        <f>IF('Coefficients (7.2.1)'!G24&lt;0,"N","P")</f>
        <v>N</v>
      </c>
      <c r="E32" s="9" t="str">
        <f>IF('Coefficients (7.2.1)'!G32&lt;0,"N","P")</f>
        <v>N</v>
      </c>
      <c r="F32" s="10" t="str">
        <f>IF('Coefficients (7.2.1)'!G40&lt;0,"N","P")</f>
        <v>N</v>
      </c>
    </row>
    <row r="35" spans="1:3" x14ac:dyDescent="0.2">
      <c r="B35" s="1" t="s">
        <v>38</v>
      </c>
      <c r="C35" s="1" t="s">
        <v>39</v>
      </c>
    </row>
    <row r="36" spans="1:3" x14ac:dyDescent="0.2">
      <c r="A36" s="1" t="s">
        <v>26</v>
      </c>
      <c r="B36" s="11">
        <f>(COUNTIF(B3:F3,"N")+COUNTIF(B8:F8,"N")+COUNTIF(B13:F13,"N")+COUNTIF(B18:F18,"N")+COUNTIF(B23:F23,"N")+COUNTIF(B28:F28,"N"))/30</f>
        <v>0.16666666666666666</v>
      </c>
      <c r="C36" s="11">
        <f>(COUNTIF(B3:F3,"P")+COUNTIF(B8:F8,"P")+COUNTIF(B13:F13,"P")+COUNTIF(B18:F18,"P")+COUNTIF(B23:F23,"P")+COUNTIF(B28:F28,"P"))/30</f>
        <v>0.83333333333333337</v>
      </c>
    </row>
    <row r="37" spans="1:3" x14ac:dyDescent="0.2">
      <c r="A37" s="1" t="s">
        <v>30</v>
      </c>
      <c r="B37" s="11">
        <f>(COUNTIF(B4:F4,"N")+COUNTIF(B9:F9,"N")+COUNTIF(B14:F14,"N")+COUNTIF(B19:F19,"N")+COUNTIF(B24:F24,"N")+COUNTIF(B29:F29,"N"))/30</f>
        <v>0.76666666666666672</v>
      </c>
      <c r="C37" s="11">
        <f>(COUNTIF(B4:F4,"P")+COUNTIF(B9:F9,"P")+COUNTIF(B14:F14,"P")+COUNTIF(B19:F19,"P")+COUNTIF(B24:F24,"P")+COUNTIF(B29:F29,"P"))/30</f>
        <v>0.23333333333333334</v>
      </c>
    </row>
    <row r="38" spans="1:3" x14ac:dyDescent="0.2">
      <c r="A38" s="1" t="s">
        <v>31</v>
      </c>
      <c r="B38" s="11">
        <f>(COUNTIF(B5:F5,"N")+COUNTIF(B10:F10,"N")+COUNTIF(B15:F15,"N")+COUNTIF(B20:F20,"N")+COUNTIF(B25:F25,"N")+COUNTIF(B30:F30,"N"))/30</f>
        <v>0.1</v>
      </c>
      <c r="C38" s="11">
        <f>(COUNTIF(B5:F5,"P")+COUNTIF(B10:F10,"P")+COUNTIF(B15:F15,"P")+COUNTIF(B20:F20,"P")+COUNTIF(B25:F25,"P")+COUNTIF(B30:F30,"P"))/30</f>
        <v>0.9</v>
      </c>
    </row>
    <row r="39" spans="1:3" x14ac:dyDescent="0.2">
      <c r="A39" s="1" t="s">
        <v>32</v>
      </c>
      <c r="B39" s="11">
        <f>(COUNTIF(B6:F6,"N")+COUNTIF(B11:F11,"N")+COUNTIF(B16:F16,"N")+COUNTIF(B21:F21,"N")+COUNTIF(B26:F26,"N")+COUNTIF(B31:F31,"N"))/30</f>
        <v>0</v>
      </c>
      <c r="C39" s="11">
        <f>(COUNTIF(B6:F6,"P")+COUNTIF(B11:F11,"P")+COUNTIF(B16:F16,"P")+COUNTIF(B21:F21,"P")+COUNTIF(B26:F26,"P")+COUNTIF(B31:F31,"P"))/30</f>
        <v>1</v>
      </c>
    </row>
    <row r="40" spans="1:3" x14ac:dyDescent="0.2">
      <c r="A40" s="1" t="s">
        <v>33</v>
      </c>
      <c r="B40" s="11">
        <f>(COUNTIF(B7:F7,"N")+COUNTIF(B12:F12,"N")+COUNTIF(B17:F17,"N")+COUNTIF(B22:F22,"N")+COUNTIF(B27:F27,"N")+COUNTIF(B32:F32,"N"))/30</f>
        <v>1</v>
      </c>
      <c r="C40" s="11">
        <f>(COUNTIF(B7:F7,"P")+COUNTIF(B12:F12,"P")+COUNTIF(B17:F17,"P")+COUNTIF(B22:F22,"P")+COUNTIF(B27:F27,"P")+COUNTIF(B32:F32,"P"))/30</f>
        <v>0</v>
      </c>
    </row>
  </sheetData>
  <mergeCells count="7">
    <mergeCell ref="A28:A32"/>
    <mergeCell ref="B1:F1"/>
    <mergeCell ref="A3:A7"/>
    <mergeCell ref="A8:A12"/>
    <mergeCell ref="A13:A17"/>
    <mergeCell ref="A18:A22"/>
    <mergeCell ref="A23:A2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94D6E-EE05-4362-B739-F941C89B3E3E}">
  <dimension ref="A1:F40"/>
  <sheetViews>
    <sheetView workbookViewId="0">
      <selection activeCell="A36" sqref="A36:A40"/>
    </sheetView>
  </sheetViews>
  <sheetFormatPr defaultColWidth="9.109375" defaultRowHeight="10.199999999999999" x14ac:dyDescent="0.2"/>
  <cols>
    <col min="1" max="1" width="21" style="1" bestFit="1" customWidth="1"/>
    <col min="2" max="16384" width="9.109375" style="1"/>
  </cols>
  <sheetData>
    <row r="1" spans="1:6" x14ac:dyDescent="0.2">
      <c r="B1" s="17" t="s">
        <v>24</v>
      </c>
      <c r="C1" s="17"/>
      <c r="D1" s="17"/>
      <c r="E1" s="17"/>
      <c r="F1" s="17"/>
    </row>
    <row r="2" spans="1:6" x14ac:dyDescent="0.2">
      <c r="B2" s="1" t="s">
        <v>17</v>
      </c>
      <c r="C2" s="1" t="s">
        <v>16</v>
      </c>
      <c r="D2" s="1" t="s">
        <v>23</v>
      </c>
      <c r="E2" s="1" t="s">
        <v>14</v>
      </c>
      <c r="F2" s="1" t="s">
        <v>13</v>
      </c>
    </row>
    <row r="3" spans="1:6" x14ac:dyDescent="0.2">
      <c r="A3" s="16" t="s">
        <v>12</v>
      </c>
      <c r="B3" s="3" t="str">
        <f>IF('Coefficients (7.1.2)'!B4&lt;0,"N","P")</f>
        <v>N</v>
      </c>
      <c r="C3" s="4" t="str">
        <f>IF('Coefficients (7.1.2)'!B12&lt;0,"N","P")</f>
        <v>P</v>
      </c>
      <c r="D3" s="4" t="str">
        <f>IF('Coefficients (7.1.2)'!B20&lt;0,"N","P")</f>
        <v>N</v>
      </c>
      <c r="E3" s="4" t="str">
        <f>IF('Coefficients (7.1.2)'!B28&lt;0,"N","P")</f>
        <v>P</v>
      </c>
      <c r="F3" s="5" t="str">
        <f>IF('Coefficients (7.1.2)'!B36&lt;0,"N","P")</f>
        <v>N</v>
      </c>
    </row>
    <row r="4" spans="1:6" x14ac:dyDescent="0.2">
      <c r="A4" s="16"/>
      <c r="B4" s="6" t="str">
        <f>IF('Coefficients (7.1.2)'!B5&lt;0,"N","P")</f>
        <v>P</v>
      </c>
      <c r="C4" s="1" t="str">
        <f>IF('Coefficients (7.1.2)'!B13&lt;0,"N","P")</f>
        <v>P</v>
      </c>
      <c r="D4" s="1" t="str">
        <f>IF('Coefficients (7.1.2)'!B21&lt;0,"N","P")</f>
        <v>P</v>
      </c>
      <c r="E4" s="1" t="str">
        <f>IF('Coefficients (7.1.2)'!B29&lt;0,"N","P")</f>
        <v>P</v>
      </c>
      <c r="F4" s="7" t="str">
        <f>IF('Coefficients (7.1.2)'!B37&lt;0,"N","P")</f>
        <v>P</v>
      </c>
    </row>
    <row r="5" spans="1:6" x14ac:dyDescent="0.2">
      <c r="A5" s="16"/>
      <c r="B5" s="6" t="str">
        <f>IF('Coefficients (7.1.2)'!B6&lt;0,"N","P")</f>
        <v>N</v>
      </c>
      <c r="C5" s="1" t="str">
        <f>IF('Coefficients (7.1.2)'!B14&lt;0,"N","P")</f>
        <v>P</v>
      </c>
      <c r="D5" s="1" t="str">
        <f>IF('Coefficients (7.1.2)'!B22&lt;0,"N","P")</f>
        <v>P</v>
      </c>
      <c r="E5" s="1" t="str">
        <f>IF('Coefficients (7.1.2)'!B30&lt;0,"N","P")</f>
        <v>N</v>
      </c>
      <c r="F5" s="7" t="str">
        <f>IF('Coefficients (7.1.2)'!B38&lt;0,"N","P")</f>
        <v>P</v>
      </c>
    </row>
    <row r="6" spans="1:6" x14ac:dyDescent="0.2">
      <c r="A6" s="16"/>
      <c r="B6" s="6" t="str">
        <f>IF('Coefficients (7.1.2)'!B7&lt;0,"N","P")</f>
        <v>P</v>
      </c>
      <c r="C6" s="1" t="str">
        <f>IF('Coefficients (7.1.2)'!B15&lt;0,"N","P")</f>
        <v>P</v>
      </c>
      <c r="D6" s="1" t="str">
        <f>IF('Coefficients (7.1.2)'!B23&lt;0,"N","P")</f>
        <v>P</v>
      </c>
      <c r="E6" s="1" t="str">
        <f>IF('Coefficients (7.1.2)'!B31&lt;0,"N","P")</f>
        <v>P</v>
      </c>
      <c r="F6" s="7" t="str">
        <f>IF('Coefficients (7.1.2)'!B39&lt;0,"N","P")</f>
        <v>P</v>
      </c>
    </row>
    <row r="7" spans="1:6" x14ac:dyDescent="0.2">
      <c r="A7" s="16"/>
      <c r="B7" s="8" t="str">
        <f>IF('Coefficients (7.1.2)'!B8&lt;0,"N","P")</f>
        <v>N</v>
      </c>
      <c r="C7" s="9" t="str">
        <f>IF('Coefficients (7.1.2)'!B16&lt;0,"N","P")</f>
        <v>N</v>
      </c>
      <c r="D7" s="9" t="str">
        <f>IF('Coefficients (7.1.2)'!B24&lt;0,"N","P")</f>
        <v>N</v>
      </c>
      <c r="E7" s="9" t="str">
        <f>IF('Coefficients (7.1.2)'!B32&lt;0,"N","P")</f>
        <v>N</v>
      </c>
      <c r="F7" s="10" t="str">
        <f>IF('Coefficients (7.1.2)'!B40&lt;0,"N","P")</f>
        <v>N</v>
      </c>
    </row>
    <row r="8" spans="1:6" x14ac:dyDescent="0.2">
      <c r="A8" s="16" t="s">
        <v>11</v>
      </c>
      <c r="B8" s="3" t="str">
        <f>IF('Coefficients (7.1.2)'!C4&lt;0,"N","P")</f>
        <v>P</v>
      </c>
      <c r="C8" s="4" t="str">
        <f>IF('Coefficients (7.1.2)'!C12&lt;0,"N","P")</f>
        <v>P</v>
      </c>
      <c r="D8" s="4" t="str">
        <f>IF('Coefficients (7.1.2)'!C20&lt;0,"N","P")</f>
        <v>N</v>
      </c>
      <c r="E8" s="4" t="str">
        <f>IF('Coefficients (7.1.2)'!C28&lt;0,"N","P")</f>
        <v>N</v>
      </c>
      <c r="F8" s="5" t="str">
        <f>IF('Coefficients (7.1.2)'!C36&lt;0,"N","P")</f>
        <v>N</v>
      </c>
    </row>
    <row r="9" spans="1:6" x14ac:dyDescent="0.2">
      <c r="A9" s="16"/>
      <c r="B9" s="6" t="str">
        <f>IF('Coefficients (7.1.2)'!C5&lt;0,"N","P")</f>
        <v>P</v>
      </c>
      <c r="C9" s="1" t="str">
        <f>IF('Coefficients (7.1.2)'!C13&lt;0,"N","P")</f>
        <v>P</v>
      </c>
      <c r="D9" s="1" t="str">
        <f>IF('Coefficients (7.1.2)'!C21&lt;0,"N","P")</f>
        <v>P</v>
      </c>
      <c r="E9" s="1" t="str">
        <f>IF('Coefficients (7.1.2)'!C29&lt;0,"N","P")</f>
        <v>P</v>
      </c>
      <c r="F9" s="7" t="str">
        <f>IF('Coefficients (7.1.2)'!C37&lt;0,"N","P")</f>
        <v>P</v>
      </c>
    </row>
    <row r="10" spans="1:6" x14ac:dyDescent="0.2">
      <c r="A10" s="16"/>
      <c r="B10" s="6" t="str">
        <f>IF('Coefficients (7.1.2)'!C6&lt;0,"N","P")</f>
        <v>N</v>
      </c>
      <c r="C10" s="1" t="str">
        <f>IF('Coefficients (7.1.2)'!C14&lt;0,"N","P")</f>
        <v>N</v>
      </c>
      <c r="D10" s="1" t="str">
        <f>IF('Coefficients (7.1.2)'!C22&lt;0,"N","P")</f>
        <v>N</v>
      </c>
      <c r="E10" s="1" t="str">
        <f>IF('Coefficients (7.1.2)'!C30&lt;0,"N","P")</f>
        <v>P</v>
      </c>
      <c r="F10" s="7" t="str">
        <f>IF('Coefficients (7.1.2)'!C38&lt;0,"N","P")</f>
        <v>N</v>
      </c>
    </row>
    <row r="11" spans="1:6" x14ac:dyDescent="0.2">
      <c r="A11" s="16"/>
      <c r="B11" s="6" t="str">
        <f>IF('Coefficients (7.1.2)'!C7&lt;0,"N","P")</f>
        <v>P</v>
      </c>
      <c r="C11" s="1" t="str">
        <f>IF('Coefficients (7.1.2)'!C15&lt;0,"N","P")</f>
        <v>P</v>
      </c>
      <c r="D11" s="1" t="str">
        <f>IF('Coefficients (7.1.2)'!C23&lt;0,"N","P")</f>
        <v>P</v>
      </c>
      <c r="E11" s="1" t="str">
        <f>IF('Coefficients (7.1.2)'!C31&lt;0,"N","P")</f>
        <v>P</v>
      </c>
      <c r="F11" s="7" t="str">
        <f>IF('Coefficients (7.1.2)'!C39&lt;0,"N","P")</f>
        <v>P</v>
      </c>
    </row>
    <row r="12" spans="1:6" x14ac:dyDescent="0.2">
      <c r="A12" s="16"/>
      <c r="B12" s="6" t="str">
        <f>IF('Coefficients (7.1.2)'!C8&lt;0,"N","P")</f>
        <v>P</v>
      </c>
      <c r="C12" s="1" t="str">
        <f>IF('Coefficients (7.1.2)'!C16&lt;0,"N","P")</f>
        <v>N</v>
      </c>
      <c r="D12" s="1" t="str">
        <f>IF('Coefficients (7.1.2)'!C24&lt;0,"N","P")</f>
        <v>N</v>
      </c>
      <c r="E12" s="1" t="str">
        <f>IF('Coefficients (7.1.2)'!C32&lt;0,"N","P")</f>
        <v>N</v>
      </c>
      <c r="F12" s="7" t="str">
        <f>IF('Coefficients (7.1.2)'!C40&lt;0,"N","P")</f>
        <v>N</v>
      </c>
    </row>
    <row r="13" spans="1:6" x14ac:dyDescent="0.2">
      <c r="A13" s="16" t="s">
        <v>10</v>
      </c>
      <c r="B13" s="3" t="str">
        <f>IF('Coefficients (7.1.2)'!D4&lt;0,"N","P")</f>
        <v>P</v>
      </c>
      <c r="C13" s="4" t="str">
        <f>IF('Coefficients (7.1.2)'!D12&lt;0,"N","P")</f>
        <v>P</v>
      </c>
      <c r="D13" s="4" t="str">
        <f>IF('Coefficients (7.1.2)'!D20&lt;0,"N","P")</f>
        <v>P</v>
      </c>
      <c r="E13" s="4" t="str">
        <f>IF('Coefficients (7.1.2)'!D28&lt;0,"N","P")</f>
        <v>P</v>
      </c>
      <c r="F13" s="5" t="str">
        <f>IF('Coefficients (7.1.2)'!D36&lt;0,"N","P")</f>
        <v>P</v>
      </c>
    </row>
    <row r="14" spans="1:6" x14ac:dyDescent="0.2">
      <c r="A14" s="16"/>
      <c r="B14" s="6" t="str">
        <f>IF('Coefficients (7.1.2)'!D5&lt;0,"N","P")</f>
        <v>P</v>
      </c>
      <c r="C14" s="1" t="str">
        <f>IF('Coefficients (7.1.2)'!D13&lt;0,"N","P")</f>
        <v>P</v>
      </c>
      <c r="D14" s="1" t="str">
        <f>IF('Coefficients (7.1.2)'!D21&lt;0,"N","P")</f>
        <v>P</v>
      </c>
      <c r="E14" s="1" t="str">
        <f>IF('Coefficients (7.1.2)'!D29&lt;0,"N","P")</f>
        <v>P</v>
      </c>
      <c r="F14" s="7" t="str">
        <f>IF('Coefficients (7.1.2)'!D37&lt;0,"N","P")</f>
        <v>P</v>
      </c>
    </row>
    <row r="15" spans="1:6" x14ac:dyDescent="0.2">
      <c r="A15" s="16"/>
      <c r="B15" s="6" t="str">
        <f>IF('Coefficients (7.1.2)'!D6&lt;0,"N","P")</f>
        <v>N</v>
      </c>
      <c r="C15" s="1" t="str">
        <f>IF('Coefficients (7.1.2)'!D14&lt;0,"N","P")</f>
        <v>N</v>
      </c>
      <c r="D15" s="1" t="str">
        <f>IF('Coefficients (7.1.2)'!D22&lt;0,"N","P")</f>
        <v>N</v>
      </c>
      <c r="E15" s="1" t="str">
        <f>IF('Coefficients (7.1.2)'!D30&lt;0,"N","P")</f>
        <v>P</v>
      </c>
      <c r="F15" s="7" t="str">
        <f>IF('Coefficients (7.1.2)'!D38&lt;0,"N","P")</f>
        <v>P</v>
      </c>
    </row>
    <row r="16" spans="1:6" x14ac:dyDescent="0.2">
      <c r="A16" s="16"/>
      <c r="B16" s="6" t="str">
        <f>IF('Coefficients (7.1.2)'!D7&lt;0,"N","P")</f>
        <v>P</v>
      </c>
      <c r="C16" s="1" t="str">
        <f>IF('Coefficients (7.1.2)'!D15&lt;0,"N","P")</f>
        <v>P</v>
      </c>
      <c r="D16" s="1" t="str">
        <f>IF('Coefficients (7.1.2)'!D23&lt;0,"N","P")</f>
        <v>P</v>
      </c>
      <c r="E16" s="1" t="str">
        <f>IF('Coefficients (7.1.2)'!D31&lt;0,"N","P")</f>
        <v>P</v>
      </c>
      <c r="F16" s="7" t="str">
        <f>IF('Coefficients (7.1.2)'!D39&lt;0,"N","P")</f>
        <v>P</v>
      </c>
    </row>
    <row r="17" spans="1:6" x14ac:dyDescent="0.2">
      <c r="A17" s="16"/>
      <c r="B17" s="8" t="str">
        <f>IF('Coefficients (7.1.2)'!D8&lt;0,"N","P")</f>
        <v>N</v>
      </c>
      <c r="C17" s="9" t="str">
        <f>IF('Coefficients (7.1.2)'!D16&lt;0,"N","P")</f>
        <v>N</v>
      </c>
      <c r="D17" s="9" t="str">
        <f>IF('Coefficients (7.1.2)'!D24&lt;0,"N","P")</f>
        <v>N</v>
      </c>
      <c r="E17" s="9" t="str">
        <f>IF('Coefficients (7.1.2)'!D32&lt;0,"N","P")</f>
        <v>N</v>
      </c>
      <c r="F17" s="10" t="str">
        <f>IF('Coefficients (7.1.2)'!D40&lt;0,"N","P")</f>
        <v>P</v>
      </c>
    </row>
    <row r="18" spans="1:6" x14ac:dyDescent="0.2">
      <c r="A18" s="16" t="s">
        <v>9</v>
      </c>
      <c r="B18" s="3" t="str">
        <f>IF('Coefficients (7.1.2)'!E4&lt;0,"N","P")</f>
        <v>N</v>
      </c>
      <c r="C18" s="4" t="str">
        <f>IF('Coefficients (7.1.2)'!E12&lt;0,"N","P")</f>
        <v>P</v>
      </c>
      <c r="D18" s="4" t="str">
        <f>IF('Coefficients (7.1.2)'!E20&lt;0,"N","P")</f>
        <v>N</v>
      </c>
      <c r="E18" s="4" t="str">
        <f>IF('Coefficients (7.1.2)'!E28&lt;0,"N","P")</f>
        <v>P</v>
      </c>
      <c r="F18" s="5" t="str">
        <f>IF('Coefficients (7.1.2)'!E36&lt;0,"N","P")</f>
        <v>P</v>
      </c>
    </row>
    <row r="19" spans="1:6" x14ac:dyDescent="0.2">
      <c r="A19" s="16"/>
      <c r="B19" s="6" t="str">
        <f>IF('Coefficients (7.1.2)'!E5&lt;0,"N","P")</f>
        <v>P</v>
      </c>
      <c r="C19" s="1" t="str">
        <f>IF('Coefficients (7.1.2)'!E13&lt;0,"N","P")</f>
        <v>P</v>
      </c>
      <c r="D19" s="1" t="str">
        <f>IF('Coefficients (7.1.2)'!E21&lt;0,"N","P")</f>
        <v>P</v>
      </c>
      <c r="E19" s="1" t="str">
        <f>IF('Coefficients (7.1.2)'!E29&lt;0,"N","P")</f>
        <v>P</v>
      </c>
      <c r="F19" s="7" t="str">
        <f>IF('Coefficients (7.1.2)'!E37&lt;0,"N","P")</f>
        <v>P</v>
      </c>
    </row>
    <row r="20" spans="1:6" x14ac:dyDescent="0.2">
      <c r="A20" s="16"/>
      <c r="B20" s="6" t="str">
        <f>IF('Coefficients (7.1.2)'!E6&lt;0,"N","P")</f>
        <v>N</v>
      </c>
      <c r="C20" s="1" t="str">
        <f>IF('Coefficients (7.1.2)'!E14&lt;0,"N","P")</f>
        <v>N</v>
      </c>
      <c r="D20" s="1" t="str">
        <f>IF('Coefficients (7.1.2)'!E22&lt;0,"N","P")</f>
        <v>N</v>
      </c>
      <c r="E20" s="1" t="str">
        <f>IF('Coefficients (7.1.2)'!E30&lt;0,"N","P")</f>
        <v>P</v>
      </c>
      <c r="F20" s="7" t="str">
        <f>IF('Coefficients (7.1.2)'!E38&lt;0,"N","P")</f>
        <v>P</v>
      </c>
    </row>
    <row r="21" spans="1:6" x14ac:dyDescent="0.2">
      <c r="A21" s="16"/>
      <c r="B21" s="6" t="str">
        <f>IF('Coefficients (7.1.2)'!E7&lt;0,"N","P")</f>
        <v>P</v>
      </c>
      <c r="C21" s="1" t="str">
        <f>IF('Coefficients (7.1.2)'!E15&lt;0,"N","P")</f>
        <v>P</v>
      </c>
      <c r="D21" s="1" t="str">
        <f>IF('Coefficients (7.1.2)'!E23&lt;0,"N","P")</f>
        <v>P</v>
      </c>
      <c r="E21" s="1" t="str">
        <f>IF('Coefficients (7.1.2)'!E31&lt;0,"N","P")</f>
        <v>P</v>
      </c>
      <c r="F21" s="7" t="str">
        <f>IF('Coefficients (7.1.2)'!E39&lt;0,"N","P")</f>
        <v>P</v>
      </c>
    </row>
    <row r="22" spans="1:6" x14ac:dyDescent="0.2">
      <c r="A22" s="16"/>
      <c r="B22" s="8" t="str">
        <f>IF('Coefficients (7.1.2)'!E8&lt;0,"N","P")</f>
        <v>N</v>
      </c>
      <c r="C22" s="9" t="str">
        <f>IF('Coefficients (7.1.2)'!E16&lt;0,"N","P")</f>
        <v>N</v>
      </c>
      <c r="D22" s="9" t="str">
        <f>IF('Coefficients (7.1.2)'!E24&lt;0,"N","P")</f>
        <v>N</v>
      </c>
      <c r="E22" s="9" t="str">
        <f>IF('Coefficients (7.1.2)'!E32&lt;0,"N","P")</f>
        <v>N</v>
      </c>
      <c r="F22" s="10" t="str">
        <f>IF('Coefficients (7.1.2)'!E40&lt;0,"N","P")</f>
        <v>N</v>
      </c>
    </row>
    <row r="23" spans="1:6" x14ac:dyDescent="0.2">
      <c r="A23" s="16" t="s">
        <v>8</v>
      </c>
      <c r="B23" s="3" t="str">
        <f>IF('Coefficients (7.1.2)'!F4&lt;0,"N","P")</f>
        <v>N</v>
      </c>
      <c r="C23" s="4" t="str">
        <f>IF('Coefficients (7.1.2)'!F12&lt;0,"N","P")</f>
        <v>P</v>
      </c>
      <c r="D23" s="4" t="str">
        <f>IF('Coefficients (7.1.2)'!F20&lt;0,"N","P")</f>
        <v>N</v>
      </c>
      <c r="E23" s="4" t="str">
        <f>IF('Coefficients (7.1.2)'!F28&lt;0,"N","P")</f>
        <v>P</v>
      </c>
      <c r="F23" s="5" t="str">
        <f>IF('Coefficients (7.1.2)'!F36&lt;0,"N","P")</f>
        <v>N</v>
      </c>
    </row>
    <row r="24" spans="1:6" x14ac:dyDescent="0.2">
      <c r="A24" s="16"/>
      <c r="B24" s="6" t="str">
        <f>IF('Coefficients (7.1.2)'!F5&lt;0,"N","P")</f>
        <v>P</v>
      </c>
      <c r="C24" s="1" t="str">
        <f>IF('Coefficients (7.1.2)'!F13&lt;0,"N","P")</f>
        <v>P</v>
      </c>
      <c r="D24" s="1" t="str">
        <f>IF('Coefficients (7.1.2)'!F21&lt;0,"N","P")</f>
        <v>P</v>
      </c>
      <c r="E24" s="1" t="str">
        <f>IF('Coefficients (7.1.2)'!F29&lt;0,"N","P")</f>
        <v>P</v>
      </c>
      <c r="F24" s="7" t="str">
        <f>IF('Coefficients (7.1.2)'!F37&lt;0,"N","P")</f>
        <v>P</v>
      </c>
    </row>
    <row r="25" spans="1:6" x14ac:dyDescent="0.2">
      <c r="A25" s="16"/>
      <c r="B25" s="6" t="str">
        <f>IF('Coefficients (7.1.2)'!F6&lt;0,"N","P")</f>
        <v>N</v>
      </c>
      <c r="C25" s="1" t="str">
        <f>IF('Coefficients (7.1.2)'!F14&lt;0,"N","P")</f>
        <v>P</v>
      </c>
      <c r="D25" s="1" t="str">
        <f>IF('Coefficients (7.1.2)'!F22&lt;0,"N","P")</f>
        <v>N</v>
      </c>
      <c r="E25" s="1" t="str">
        <f>IF('Coefficients (7.1.2)'!F30&lt;0,"N","P")</f>
        <v>N</v>
      </c>
      <c r="F25" s="7" t="str">
        <f>IF('Coefficients (7.1.2)'!F38&lt;0,"N","P")</f>
        <v>P</v>
      </c>
    </row>
    <row r="26" spans="1:6" x14ac:dyDescent="0.2">
      <c r="A26" s="16"/>
      <c r="B26" s="6" t="str">
        <f>IF('Coefficients (7.1.2)'!F7&lt;0,"N","P")</f>
        <v>P</v>
      </c>
      <c r="C26" s="1" t="str">
        <f>IF('Coefficients (7.1.2)'!F15&lt;0,"N","P")</f>
        <v>P</v>
      </c>
      <c r="D26" s="1" t="str">
        <f>IF('Coefficients (7.1.2)'!F23&lt;0,"N","P")</f>
        <v>P</v>
      </c>
      <c r="E26" s="1" t="str">
        <f>IF('Coefficients (7.1.2)'!F31&lt;0,"N","P")</f>
        <v>P</v>
      </c>
      <c r="F26" s="7" t="str">
        <f>IF('Coefficients (7.1.2)'!F39&lt;0,"N","P")</f>
        <v>P</v>
      </c>
    </row>
    <row r="27" spans="1:6" x14ac:dyDescent="0.2">
      <c r="A27" s="16"/>
      <c r="B27" s="8" t="str">
        <f>IF('Coefficients (7.1.2)'!F8&lt;0,"N","P")</f>
        <v>N</v>
      </c>
      <c r="C27" s="9" t="str">
        <f>IF('Coefficients (7.1.2)'!F16&lt;0,"N","P")</f>
        <v>N</v>
      </c>
      <c r="D27" s="9" t="str">
        <f>IF('Coefficients (7.1.2)'!F24&lt;0,"N","P")</f>
        <v>N</v>
      </c>
      <c r="E27" s="9" t="str">
        <f>IF('Coefficients (7.1.2)'!F32&lt;0,"N","P")</f>
        <v>N</v>
      </c>
      <c r="F27" s="10" t="str">
        <f>IF('Coefficients (7.1.2)'!F40&lt;0,"N","P")</f>
        <v>N</v>
      </c>
    </row>
    <row r="28" spans="1:6" x14ac:dyDescent="0.2">
      <c r="A28" s="16" t="s">
        <v>7</v>
      </c>
      <c r="B28" s="3" t="str">
        <f>IF('Coefficients (7.1.2)'!G4&lt;0,"N","P")</f>
        <v>N</v>
      </c>
      <c r="C28" s="4" t="str">
        <f>IF('Coefficients (7.1.2)'!G12&lt;0,"N","P")</f>
        <v>P</v>
      </c>
      <c r="D28" s="4" t="str">
        <f>IF('Coefficients (7.1.2)'!G20&lt;0,"N","P")</f>
        <v>P</v>
      </c>
      <c r="E28" s="4" t="str">
        <f>IF('Coefficients (7.1.2)'!G28&lt;0,"N","P")</f>
        <v>P</v>
      </c>
      <c r="F28" s="5" t="str">
        <f>IF('Coefficients (7.1.2)'!G36&lt;0,"N","P")</f>
        <v>N</v>
      </c>
    </row>
    <row r="29" spans="1:6" x14ac:dyDescent="0.2">
      <c r="A29" s="16"/>
      <c r="B29" s="6" t="str">
        <f>IF('Coefficients (7.1.2)'!G5&lt;0,"N","P")</f>
        <v>P</v>
      </c>
      <c r="C29" s="1" t="str">
        <f>IF('Coefficients (7.1.2)'!G13&lt;0,"N","P")</f>
        <v>P</v>
      </c>
      <c r="D29" s="1" t="str">
        <f>IF('Coefficients (7.1.2)'!G21&lt;0,"N","P")</f>
        <v>P</v>
      </c>
      <c r="E29" s="1" t="str">
        <f>IF('Coefficients (7.1.2)'!G29&lt;0,"N","P")</f>
        <v>P</v>
      </c>
      <c r="F29" s="7" t="str">
        <f>IF('Coefficients (7.1.2)'!G37&lt;0,"N","P")</f>
        <v>P</v>
      </c>
    </row>
    <row r="30" spans="1:6" x14ac:dyDescent="0.2">
      <c r="A30" s="16"/>
      <c r="B30" s="6" t="str">
        <f>IF('Coefficients (7.1.2)'!G6&lt;0,"N","P")</f>
        <v>P</v>
      </c>
      <c r="C30" s="1" t="str">
        <f>IF('Coefficients (7.1.2)'!G14&lt;0,"N","P")</f>
        <v>N</v>
      </c>
      <c r="D30" s="1" t="str">
        <f>IF('Coefficients (7.1.2)'!G22&lt;0,"N","P")</f>
        <v>P</v>
      </c>
      <c r="E30" s="1" t="str">
        <f>IF('Coefficients (7.1.2)'!G30&lt;0,"N","P")</f>
        <v>P</v>
      </c>
      <c r="F30" s="7" t="str">
        <f>IF('Coefficients (7.1.2)'!G38&lt;0,"N","P")</f>
        <v>P</v>
      </c>
    </row>
    <row r="31" spans="1:6" x14ac:dyDescent="0.2">
      <c r="A31" s="16"/>
      <c r="B31" s="6" t="str">
        <f>IF('Coefficients (7.1.2)'!G7&lt;0,"N","P")</f>
        <v>P</v>
      </c>
      <c r="C31" s="1" t="str">
        <f>IF('Coefficients (7.1.2)'!G15&lt;0,"N","P")</f>
        <v>P</v>
      </c>
      <c r="D31" s="1" t="str">
        <f>IF('Coefficients (7.1.2)'!G23&lt;0,"N","P")</f>
        <v>P</v>
      </c>
      <c r="E31" s="1" t="str">
        <f>IF('Coefficients (7.1.2)'!G31&lt;0,"N","P")</f>
        <v>P</v>
      </c>
      <c r="F31" s="7" t="str">
        <f>IF('Coefficients (7.1.2)'!G39&lt;0,"N","P")</f>
        <v>P</v>
      </c>
    </row>
    <row r="32" spans="1:6" x14ac:dyDescent="0.2">
      <c r="A32" s="16"/>
      <c r="B32" s="8" t="str">
        <f>IF('Coefficients (7.1.2)'!G8&lt;0,"N","P")</f>
        <v>N</v>
      </c>
      <c r="C32" s="9" t="str">
        <f>IF('Coefficients (7.1.2)'!G16&lt;0,"N","P")</f>
        <v>N</v>
      </c>
      <c r="D32" s="9" t="str">
        <f>IF('Coefficients (7.1.2)'!G24&lt;0,"N","P")</f>
        <v>N</v>
      </c>
      <c r="E32" s="9" t="str">
        <f>IF('Coefficients (7.1.2)'!G32&lt;0,"N","P")</f>
        <v>P</v>
      </c>
      <c r="F32" s="10" t="str">
        <f>IF('Coefficients (7.1.2)'!G40&lt;0,"N","P")</f>
        <v>N</v>
      </c>
    </row>
    <row r="35" spans="1:3" x14ac:dyDescent="0.2">
      <c r="B35" s="1" t="s">
        <v>38</v>
      </c>
      <c r="C35" s="1" t="s">
        <v>39</v>
      </c>
    </row>
    <row r="36" spans="1:3" x14ac:dyDescent="0.2">
      <c r="A36" s="1" t="s">
        <v>25</v>
      </c>
      <c r="B36" s="11">
        <f>(COUNTIF(B3:F3,"N")+COUNTIF(B8:F8,"N")+COUNTIF(B13:F13,"N")+COUNTIF(B18:F18,"N")+COUNTIF(B23:F23,"N")+COUNTIF(B28:F28,"N"))/30</f>
        <v>0.43333333333333335</v>
      </c>
      <c r="C36" s="11">
        <f>(COUNTIF(B3:F3,"P")+COUNTIF(B8:F8,"P")+COUNTIF(B13:F13,"P")+COUNTIF(B18:F18,"P")+COUNTIF(B23:F23,"P")+COUNTIF(B28:F28,"P"))/30</f>
        <v>0.56666666666666665</v>
      </c>
    </row>
    <row r="37" spans="1:3" x14ac:dyDescent="0.2">
      <c r="A37" s="1" t="s">
        <v>3</v>
      </c>
      <c r="B37" s="11">
        <f>(COUNTIF(B4:F4,"N")+COUNTIF(B9:F9,"N")+COUNTIF(B14:F14,"N")+COUNTIF(B19:F19,"N")+COUNTIF(B24:F24,"N")+COUNTIF(B29:F29,"N"))/30</f>
        <v>0</v>
      </c>
      <c r="C37" s="11">
        <f>(COUNTIF(B4:F4,"P")+COUNTIF(B9:F9,"P")+COUNTIF(B14:F14,"P")+COUNTIF(B19:F19,"P")+COUNTIF(B24:F24,"P")+COUNTIF(B29:F29,"P"))/30</f>
        <v>1</v>
      </c>
    </row>
    <row r="38" spans="1:3" x14ac:dyDescent="0.2">
      <c r="A38" s="1" t="s">
        <v>26</v>
      </c>
      <c r="B38" s="11">
        <f>(COUNTIF(B5:F5,"N")+COUNTIF(B10:F10,"N")+COUNTIF(B15:F15,"N")+COUNTIF(B20:F20,"N")+COUNTIF(B25:F25,"N")+COUNTIF(B30:F30,"N"))/30</f>
        <v>0.53333333333333333</v>
      </c>
      <c r="C38" s="11">
        <f>(COUNTIF(B5:F5,"P")+COUNTIF(B10:F10,"P")+COUNTIF(B15:F15,"P")+COUNTIF(B20:F20,"P")+COUNTIF(B25:F25,"P")+COUNTIF(B30:F30,"P"))/30</f>
        <v>0.46666666666666667</v>
      </c>
    </row>
    <row r="39" spans="1:3" x14ac:dyDescent="0.2">
      <c r="A39" s="1" t="s">
        <v>27</v>
      </c>
      <c r="B39" s="11">
        <f>(COUNTIF(B6:F6,"N")+COUNTIF(B11:F11,"N")+COUNTIF(B16:F16,"N")+COUNTIF(B21:F21,"N")+COUNTIF(B26:F26,"N")+COUNTIF(B31:F31,"N"))/30</f>
        <v>0</v>
      </c>
      <c r="C39" s="11">
        <f>(COUNTIF(B6:F6,"P")+COUNTIF(B11:F11,"P")+COUNTIF(B16:F16,"P")+COUNTIF(B21:F21,"P")+COUNTIF(B26:F26,"P")+COUNTIF(B31:F31,"P"))/30</f>
        <v>1</v>
      </c>
    </row>
    <row r="40" spans="1:3" x14ac:dyDescent="0.2">
      <c r="A40" s="1" t="s">
        <v>28</v>
      </c>
      <c r="B40" s="11">
        <f>(COUNTIF(B7:F7,"N")+COUNTIF(B12:F12,"N")+COUNTIF(B17:F17,"N")+COUNTIF(B22:F22,"N")+COUNTIF(B27:F27,"N")+COUNTIF(B32:F32,"N"))/30</f>
        <v>0.9</v>
      </c>
      <c r="C40" s="11">
        <f>(COUNTIF(B7:F7,"P")+COUNTIF(B12:F12,"P")+COUNTIF(B17:F17,"P")+COUNTIF(B22:F22,"P")+COUNTIF(B27:F27,"P")+COUNTIF(B32:F32,"P"))/30</f>
        <v>0.1</v>
      </c>
    </row>
  </sheetData>
  <mergeCells count="7">
    <mergeCell ref="A28:A32"/>
    <mergeCell ref="B1:F1"/>
    <mergeCell ref="A3:A7"/>
    <mergeCell ref="A8:A12"/>
    <mergeCell ref="A13:A17"/>
    <mergeCell ref="A18:A22"/>
    <mergeCell ref="A23:A2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7312-E7EF-4C17-9C30-ABE543A779A1}">
  <dimension ref="A1:F40"/>
  <sheetViews>
    <sheetView workbookViewId="0"/>
  </sheetViews>
  <sheetFormatPr defaultColWidth="9.109375" defaultRowHeight="10.199999999999999" x14ac:dyDescent="0.2"/>
  <cols>
    <col min="1" max="1" width="21" style="1" bestFit="1" customWidth="1"/>
    <col min="2" max="16384" width="9.109375" style="1"/>
  </cols>
  <sheetData>
    <row r="1" spans="1:6" x14ac:dyDescent="0.2">
      <c r="B1" s="17" t="s">
        <v>5</v>
      </c>
      <c r="C1" s="17"/>
      <c r="D1" s="17"/>
      <c r="E1" s="17"/>
      <c r="F1" s="17"/>
    </row>
    <row r="2" spans="1:6" x14ac:dyDescent="0.2">
      <c r="B2" s="1" t="s">
        <v>17</v>
      </c>
      <c r="C2" s="1" t="s">
        <v>16</v>
      </c>
      <c r="D2" s="1" t="s">
        <v>23</v>
      </c>
      <c r="E2" s="1" t="s">
        <v>14</v>
      </c>
      <c r="F2" s="1" t="s">
        <v>13</v>
      </c>
    </row>
    <row r="3" spans="1:6" x14ac:dyDescent="0.2">
      <c r="A3" s="16" t="s">
        <v>12</v>
      </c>
      <c r="B3" s="3" t="str">
        <f>IF('Coefficients (7.1.1)'!B4&lt;0,"N","P")</f>
        <v>N</v>
      </c>
      <c r="C3" s="4" t="str">
        <f>IF('Coefficients (7.1.1)'!B12&lt;0,"N","P")</f>
        <v>N</v>
      </c>
      <c r="D3" s="4" t="str">
        <f>IF('Coefficients (7.1.1)'!B20&lt;0,"N","P")</f>
        <v>N</v>
      </c>
      <c r="E3" s="4" t="str">
        <f>IF('Coefficients (7.1.1)'!B28&lt;0,"N","P")</f>
        <v>N</v>
      </c>
      <c r="F3" s="5" t="str">
        <f>IF('Coefficients (7.1.1)'!B36&lt;0,"N","P")</f>
        <v>N</v>
      </c>
    </row>
    <row r="4" spans="1:6" x14ac:dyDescent="0.2">
      <c r="A4" s="16"/>
      <c r="B4" s="6" t="str">
        <f>IF('Coefficients (7.1.1)'!B5&lt;0,"N","P")</f>
        <v>P</v>
      </c>
      <c r="C4" s="1" t="str">
        <f>IF('Coefficients (7.1.1)'!B13&lt;0,"N","P")</f>
        <v>P</v>
      </c>
      <c r="D4" s="1" t="str">
        <f>IF('Coefficients (7.1.1)'!B21&lt;0,"N","P")</f>
        <v>P</v>
      </c>
      <c r="E4" s="1" t="str">
        <f>IF('Coefficients (7.1.1)'!B29&lt;0,"N","P")</f>
        <v>P</v>
      </c>
      <c r="F4" s="7" t="str">
        <f>IF('Coefficients (7.1.1)'!B37&lt;0,"N","P")</f>
        <v>P</v>
      </c>
    </row>
    <row r="5" spans="1:6" x14ac:dyDescent="0.2">
      <c r="A5" s="16"/>
      <c r="B5" s="6" t="str">
        <f>IF('Coefficients (7.1.1)'!B6&lt;0,"N","P")</f>
        <v>N</v>
      </c>
      <c r="C5" s="1" t="str">
        <f>IF('Coefficients (7.1.1)'!B14&lt;0,"N","P")</f>
        <v>N</v>
      </c>
      <c r="D5" s="1" t="str">
        <f>IF('Coefficients (7.1.1)'!B22&lt;0,"N","P")</f>
        <v>N</v>
      </c>
      <c r="E5" s="1" t="str">
        <f>IF('Coefficients (7.1.1)'!B30&lt;0,"N","P")</f>
        <v>N</v>
      </c>
      <c r="F5" s="7" t="str">
        <f>IF('Coefficients (7.1.1)'!B38&lt;0,"N","P")</f>
        <v>N</v>
      </c>
    </row>
    <row r="6" spans="1:6" x14ac:dyDescent="0.2">
      <c r="A6" s="16"/>
      <c r="B6" s="6" t="str">
        <f>IF('Coefficients (7.1.1)'!B7&lt;0,"N","P")</f>
        <v>N</v>
      </c>
      <c r="C6" s="1" t="str">
        <f>IF('Coefficients (7.1.1)'!B15&lt;0,"N","P")</f>
        <v>P</v>
      </c>
      <c r="D6" s="1" t="str">
        <f>IF('Coefficients (7.1.1)'!B23&lt;0,"N","P")</f>
        <v>N</v>
      </c>
      <c r="E6" s="1" t="str">
        <f>IF('Coefficients (7.1.1)'!B31&lt;0,"N","P")</f>
        <v>P</v>
      </c>
      <c r="F6" s="7" t="str">
        <f>IF('Coefficients (7.1.1)'!B39&lt;0,"N","P")</f>
        <v>P</v>
      </c>
    </row>
    <row r="7" spans="1:6" x14ac:dyDescent="0.2">
      <c r="A7" s="16"/>
      <c r="B7" s="8" t="str">
        <f>IF('Coefficients (7.1.1)'!B8&lt;0,"N","P")</f>
        <v>P</v>
      </c>
      <c r="C7" s="9" t="str">
        <f>IF('Coefficients (7.1.1)'!B16&lt;0,"N","P")</f>
        <v>P</v>
      </c>
      <c r="D7" s="9" t="str">
        <f>IF('Coefficients (7.1.1)'!B24&lt;0,"N","P")</f>
        <v>N</v>
      </c>
      <c r="E7" s="9" t="str">
        <f>IF('Coefficients (7.1.1)'!B32&lt;0,"N","P")</f>
        <v>P</v>
      </c>
      <c r="F7" s="10" t="str">
        <f>IF('Coefficients (7.1.1)'!B40&lt;0,"N","P")</f>
        <v>P</v>
      </c>
    </row>
    <row r="8" spans="1:6" x14ac:dyDescent="0.2">
      <c r="A8" s="16" t="s">
        <v>11</v>
      </c>
      <c r="B8" s="3" t="str">
        <f>IF('Coefficients (7.1.1)'!C4&lt;0,"N","P")</f>
        <v>N</v>
      </c>
      <c r="C8" s="4" t="str">
        <f>IF('Coefficients (7.1.1)'!C12&lt;0,"N","P")</f>
        <v>N</v>
      </c>
      <c r="D8" s="4" t="str">
        <f>IF('Coefficients (7.1.1)'!C20&lt;0,"N","P")</f>
        <v>N</v>
      </c>
      <c r="E8" s="4" t="str">
        <f>IF('Coefficients (7.1.1)'!C28&lt;0,"N","P")</f>
        <v>N</v>
      </c>
      <c r="F8" s="5" t="str">
        <f>IF('Coefficients (7.1.1)'!C36&lt;0,"N","P")</f>
        <v>N</v>
      </c>
    </row>
    <row r="9" spans="1:6" x14ac:dyDescent="0.2">
      <c r="A9" s="16"/>
      <c r="B9" s="6" t="str">
        <f>IF('Coefficients (7.1.1)'!C5&lt;0,"N","P")</f>
        <v>P</v>
      </c>
      <c r="C9" s="1" t="str">
        <f>IF('Coefficients (7.1.1)'!C13&lt;0,"N","P")</f>
        <v>P</v>
      </c>
      <c r="D9" s="1" t="str">
        <f>IF('Coefficients (7.1.1)'!C21&lt;0,"N","P")</f>
        <v>P</v>
      </c>
      <c r="E9" s="1" t="str">
        <f>IF('Coefficients (7.1.1)'!C29&lt;0,"N","P")</f>
        <v>P</v>
      </c>
      <c r="F9" s="7" t="str">
        <f>IF('Coefficients (7.1.1)'!C37&lt;0,"N","P")</f>
        <v>P</v>
      </c>
    </row>
    <row r="10" spans="1:6" x14ac:dyDescent="0.2">
      <c r="A10" s="16"/>
      <c r="B10" s="6" t="str">
        <f>IF('Coefficients (7.1.1)'!C6&lt;0,"N","P")</f>
        <v>N</v>
      </c>
      <c r="C10" s="1" t="str">
        <f>IF('Coefficients (7.1.1)'!C14&lt;0,"N","P")</f>
        <v>N</v>
      </c>
      <c r="D10" s="1" t="str">
        <f>IF('Coefficients (7.1.1)'!C22&lt;0,"N","P")</f>
        <v>N</v>
      </c>
      <c r="E10" s="1" t="str">
        <f>IF('Coefficients (7.1.1)'!C30&lt;0,"N","P")</f>
        <v>N</v>
      </c>
      <c r="F10" s="7" t="str">
        <f>IF('Coefficients (7.1.1)'!C38&lt;0,"N","P")</f>
        <v>N</v>
      </c>
    </row>
    <row r="11" spans="1:6" x14ac:dyDescent="0.2">
      <c r="A11" s="16"/>
      <c r="B11" s="6" t="str">
        <f>IF('Coefficients (7.1.1)'!C7&lt;0,"N","P")</f>
        <v>P</v>
      </c>
      <c r="C11" s="1" t="str">
        <f>IF('Coefficients (7.1.1)'!C15&lt;0,"N","P")</f>
        <v>P</v>
      </c>
      <c r="D11" s="1" t="str">
        <f>IF('Coefficients (7.1.1)'!C23&lt;0,"N","P")</f>
        <v>N</v>
      </c>
      <c r="E11" s="1" t="str">
        <f>IF('Coefficients (7.1.1)'!C31&lt;0,"N","P")</f>
        <v>N</v>
      </c>
      <c r="F11" s="7" t="str">
        <f>IF('Coefficients (7.1.1)'!C39&lt;0,"N","P")</f>
        <v>P</v>
      </c>
    </row>
    <row r="12" spans="1:6" x14ac:dyDescent="0.2">
      <c r="A12" s="16"/>
      <c r="B12" s="6" t="str">
        <f>IF('Coefficients (7.1.1)'!C8&lt;0,"N","P")</f>
        <v>P</v>
      </c>
      <c r="C12" s="1" t="str">
        <f>IF('Coefficients (7.1.1)'!C16&lt;0,"N","P")</f>
        <v>P</v>
      </c>
      <c r="D12" s="1" t="str">
        <f>IF('Coefficients (7.1.1)'!C24&lt;0,"N","P")</f>
        <v>P</v>
      </c>
      <c r="E12" s="1" t="str">
        <f>IF('Coefficients (7.1.1)'!C32&lt;0,"N","P")</f>
        <v>P</v>
      </c>
      <c r="F12" s="7" t="str">
        <f>IF('Coefficients (7.1.1)'!C40&lt;0,"N","P")</f>
        <v>P</v>
      </c>
    </row>
    <row r="13" spans="1:6" x14ac:dyDescent="0.2">
      <c r="A13" s="16" t="s">
        <v>10</v>
      </c>
      <c r="B13" s="3" t="str">
        <f>IF('Coefficients (7.1.1)'!D4&lt;0,"N","P")</f>
        <v>N</v>
      </c>
      <c r="C13" s="4" t="str">
        <f>IF('Coefficients (7.1.1)'!D12&lt;0,"N","P")</f>
        <v>N</v>
      </c>
      <c r="D13" s="4" t="str">
        <f>IF('Coefficients (7.1.1)'!D20&lt;0,"N","P")</f>
        <v>N</v>
      </c>
      <c r="E13" s="4" t="str">
        <f>IF('Coefficients (7.1.1)'!D28&lt;0,"N","P")</f>
        <v>N</v>
      </c>
      <c r="F13" s="5" t="str">
        <f>IF('Coefficients (7.1.1)'!D36&lt;0,"N","P")</f>
        <v>N</v>
      </c>
    </row>
    <row r="14" spans="1:6" x14ac:dyDescent="0.2">
      <c r="A14" s="16"/>
      <c r="B14" s="6" t="str">
        <f>IF('Coefficients (7.1.1)'!D5&lt;0,"N","P")</f>
        <v>P</v>
      </c>
      <c r="C14" s="1" t="str">
        <f>IF('Coefficients (7.1.1)'!D13&lt;0,"N","P")</f>
        <v>P</v>
      </c>
      <c r="D14" s="1" t="str">
        <f>IF('Coefficients (7.1.1)'!D21&lt;0,"N","P")</f>
        <v>P</v>
      </c>
      <c r="E14" s="1" t="str">
        <f>IF('Coefficients (7.1.1)'!D29&lt;0,"N","P")</f>
        <v>P</v>
      </c>
      <c r="F14" s="7" t="str">
        <f>IF('Coefficients (7.1.1)'!D37&lt;0,"N","P")</f>
        <v>P</v>
      </c>
    </row>
    <row r="15" spans="1:6" x14ac:dyDescent="0.2">
      <c r="A15" s="16"/>
      <c r="B15" s="6" t="str">
        <f>IF('Coefficients (7.1.1)'!D6&lt;0,"N","P")</f>
        <v>N</v>
      </c>
      <c r="C15" s="1" t="str">
        <f>IF('Coefficients (7.1.1)'!D14&lt;0,"N","P")</f>
        <v>N</v>
      </c>
      <c r="D15" s="1" t="str">
        <f>IF('Coefficients (7.1.1)'!D22&lt;0,"N","P")</f>
        <v>N</v>
      </c>
      <c r="E15" s="1" t="str">
        <f>IF('Coefficients (7.1.1)'!D30&lt;0,"N","P")</f>
        <v>N</v>
      </c>
      <c r="F15" s="7" t="str">
        <f>IF('Coefficients (7.1.1)'!D38&lt;0,"N","P")</f>
        <v>N</v>
      </c>
    </row>
    <row r="16" spans="1:6" x14ac:dyDescent="0.2">
      <c r="A16" s="16"/>
      <c r="B16" s="6" t="str">
        <f>IF('Coefficients (7.1.1)'!D7&lt;0,"N","P")</f>
        <v>P</v>
      </c>
      <c r="C16" s="1" t="str">
        <f>IF('Coefficients (7.1.1)'!D15&lt;0,"N","P")</f>
        <v>N</v>
      </c>
      <c r="D16" s="1" t="str">
        <f>IF('Coefficients (7.1.1)'!D23&lt;0,"N","P")</f>
        <v>P</v>
      </c>
      <c r="E16" s="1" t="str">
        <f>IF('Coefficients (7.1.1)'!D31&lt;0,"N","P")</f>
        <v>P</v>
      </c>
      <c r="F16" s="7" t="str">
        <f>IF('Coefficients (7.1.1)'!D39&lt;0,"N","P")</f>
        <v>P</v>
      </c>
    </row>
    <row r="17" spans="1:6" x14ac:dyDescent="0.2">
      <c r="A17" s="16"/>
      <c r="B17" s="8" t="str">
        <f>IF('Coefficients (7.1.1)'!D8&lt;0,"N","P")</f>
        <v>P</v>
      </c>
      <c r="C17" s="9" t="str">
        <f>IF('Coefficients (7.1.1)'!D16&lt;0,"N","P")</f>
        <v>P</v>
      </c>
      <c r="D17" s="9" t="str">
        <f>IF('Coefficients (7.1.1)'!D24&lt;0,"N","P")</f>
        <v>P</v>
      </c>
      <c r="E17" s="9" t="str">
        <f>IF('Coefficients (7.1.1)'!D32&lt;0,"N","P")</f>
        <v>P</v>
      </c>
      <c r="F17" s="10" t="str">
        <f>IF('Coefficients (7.1.1)'!D40&lt;0,"N","P")</f>
        <v>P</v>
      </c>
    </row>
    <row r="18" spans="1:6" x14ac:dyDescent="0.2">
      <c r="A18" s="16" t="s">
        <v>9</v>
      </c>
      <c r="B18" s="3" t="str">
        <f>IF('Coefficients (7.1.1)'!E4&lt;0,"N","P")</f>
        <v>P</v>
      </c>
      <c r="C18" s="4" t="str">
        <f>IF('Coefficients (7.1.1)'!E12&lt;0,"N","P")</f>
        <v>N</v>
      </c>
      <c r="D18" s="4" t="str">
        <f>IF('Coefficients (7.1.1)'!E20&lt;0,"N","P")</f>
        <v>N</v>
      </c>
      <c r="E18" s="4" t="str">
        <f>IF('Coefficients (7.1.1)'!E28&lt;0,"N","P")</f>
        <v>N</v>
      </c>
      <c r="F18" s="5" t="str">
        <f>IF('Coefficients (7.1.1)'!E36&lt;0,"N","P")</f>
        <v>N</v>
      </c>
    </row>
    <row r="19" spans="1:6" x14ac:dyDescent="0.2">
      <c r="A19" s="16"/>
      <c r="B19" s="6" t="str">
        <f>IF('Coefficients (7.1.1)'!E5&lt;0,"N","P")</f>
        <v>P</v>
      </c>
      <c r="C19" s="1" t="str">
        <f>IF('Coefficients (7.1.1)'!E13&lt;0,"N","P")</f>
        <v>P</v>
      </c>
      <c r="D19" s="1" t="str">
        <f>IF('Coefficients (7.1.1)'!E21&lt;0,"N","P")</f>
        <v>P</v>
      </c>
      <c r="E19" s="1" t="str">
        <f>IF('Coefficients (7.1.1)'!E29&lt;0,"N","P")</f>
        <v>P</v>
      </c>
      <c r="F19" s="7" t="str">
        <f>IF('Coefficients (7.1.1)'!E37&lt;0,"N","P")</f>
        <v>P</v>
      </c>
    </row>
    <row r="20" spans="1:6" x14ac:dyDescent="0.2">
      <c r="A20" s="16"/>
      <c r="B20" s="6" t="str">
        <f>IF('Coefficients (7.1.1)'!E6&lt;0,"N","P")</f>
        <v>N</v>
      </c>
      <c r="C20" s="1" t="str">
        <f>IF('Coefficients (7.1.1)'!E14&lt;0,"N","P")</f>
        <v>N</v>
      </c>
      <c r="D20" s="1" t="str">
        <f>IF('Coefficients (7.1.1)'!E22&lt;0,"N","P")</f>
        <v>N</v>
      </c>
      <c r="E20" s="1" t="str">
        <f>IF('Coefficients (7.1.1)'!E30&lt;0,"N","P")</f>
        <v>N</v>
      </c>
      <c r="F20" s="7" t="str">
        <f>IF('Coefficients (7.1.1)'!E38&lt;0,"N","P")</f>
        <v>N</v>
      </c>
    </row>
    <row r="21" spans="1:6" x14ac:dyDescent="0.2">
      <c r="A21" s="16"/>
      <c r="B21" s="6" t="str">
        <f>IF('Coefficients (7.1.1)'!E7&lt;0,"N","P")</f>
        <v>P</v>
      </c>
      <c r="C21" s="1" t="str">
        <f>IF('Coefficients (7.1.1)'!E15&lt;0,"N","P")</f>
        <v>P</v>
      </c>
      <c r="D21" s="1" t="str">
        <f>IF('Coefficients (7.1.1)'!E23&lt;0,"N","P")</f>
        <v>P</v>
      </c>
      <c r="E21" s="1" t="str">
        <f>IF('Coefficients (7.1.1)'!E31&lt;0,"N","P")</f>
        <v>P</v>
      </c>
      <c r="F21" s="7" t="str">
        <f>IF('Coefficients (7.1.1)'!E39&lt;0,"N","P")</f>
        <v>P</v>
      </c>
    </row>
    <row r="22" spans="1:6" x14ac:dyDescent="0.2">
      <c r="A22" s="16"/>
      <c r="B22" s="8" t="str">
        <f>IF('Coefficients (7.1.1)'!E8&lt;0,"N","P")</f>
        <v>P</v>
      </c>
      <c r="C22" s="9" t="str">
        <f>IF('Coefficients (7.1.1)'!E16&lt;0,"N","P")</f>
        <v>P</v>
      </c>
      <c r="D22" s="9" t="str">
        <f>IF('Coefficients (7.1.1)'!E24&lt;0,"N","P")</f>
        <v>P</v>
      </c>
      <c r="E22" s="9" t="str">
        <f>IF('Coefficients (7.1.1)'!E32&lt;0,"N","P")</f>
        <v>P</v>
      </c>
      <c r="F22" s="10" t="str">
        <f>IF('Coefficients (7.1.1)'!E40&lt;0,"N","P")</f>
        <v>P</v>
      </c>
    </row>
    <row r="23" spans="1:6" x14ac:dyDescent="0.2">
      <c r="A23" s="16" t="s">
        <v>8</v>
      </c>
      <c r="B23" s="3" t="str">
        <f>IF('Coefficients (7.1.1)'!F4&lt;0,"N","P")</f>
        <v>N</v>
      </c>
      <c r="C23" s="4" t="str">
        <f>IF('Coefficients (7.1.1)'!F12&lt;0,"N","P")</f>
        <v>N</v>
      </c>
      <c r="D23" s="4" t="str">
        <f>IF('Coefficients (7.1.1)'!F20&lt;0,"N","P")</f>
        <v>N</v>
      </c>
      <c r="E23" s="4" t="str">
        <f>IF('Coefficients (7.1.1)'!F28&lt;0,"N","P")</f>
        <v>N</v>
      </c>
      <c r="F23" s="5" t="str">
        <f>IF('Coefficients (7.1.1)'!F36&lt;0,"N","P")</f>
        <v>N</v>
      </c>
    </row>
    <row r="24" spans="1:6" x14ac:dyDescent="0.2">
      <c r="A24" s="16"/>
      <c r="B24" s="6" t="str">
        <f>IF('Coefficients (7.1.1)'!F5&lt;0,"N","P")</f>
        <v>P</v>
      </c>
      <c r="C24" s="1" t="str">
        <f>IF('Coefficients (7.1.1)'!F13&lt;0,"N","P")</f>
        <v>P</v>
      </c>
      <c r="D24" s="1" t="str">
        <f>IF('Coefficients (7.1.1)'!F21&lt;0,"N","P")</f>
        <v>P</v>
      </c>
      <c r="E24" s="1" t="str">
        <f>IF('Coefficients (7.1.1)'!F29&lt;0,"N","P")</f>
        <v>P</v>
      </c>
      <c r="F24" s="7" t="str">
        <f>IF('Coefficients (7.1.1)'!F37&lt;0,"N","P")</f>
        <v>P</v>
      </c>
    </row>
    <row r="25" spans="1:6" x14ac:dyDescent="0.2">
      <c r="A25" s="16"/>
      <c r="B25" s="6" t="str">
        <f>IF('Coefficients (7.1.1)'!F6&lt;0,"N","P")</f>
        <v>N</v>
      </c>
      <c r="C25" s="1" t="str">
        <f>IF('Coefficients (7.1.1)'!F14&lt;0,"N","P")</f>
        <v>N</v>
      </c>
      <c r="D25" s="1" t="str">
        <f>IF('Coefficients (7.1.1)'!F22&lt;0,"N","P")</f>
        <v>N</v>
      </c>
      <c r="E25" s="1" t="str">
        <f>IF('Coefficients (7.1.1)'!F30&lt;0,"N","P")</f>
        <v>N</v>
      </c>
      <c r="F25" s="7" t="str">
        <f>IF('Coefficients (7.1.1)'!F38&lt;0,"N","P")</f>
        <v>N</v>
      </c>
    </row>
    <row r="26" spans="1:6" x14ac:dyDescent="0.2">
      <c r="A26" s="16"/>
      <c r="B26" s="6" t="str">
        <f>IF('Coefficients (7.1.1)'!F7&lt;0,"N","P")</f>
        <v>P</v>
      </c>
      <c r="C26" s="1" t="str">
        <f>IF('Coefficients (7.1.1)'!F15&lt;0,"N","P")</f>
        <v>P</v>
      </c>
      <c r="D26" s="1" t="str">
        <f>IF('Coefficients (7.1.1)'!F23&lt;0,"N","P")</f>
        <v>P</v>
      </c>
      <c r="E26" s="1" t="str">
        <f>IF('Coefficients (7.1.1)'!F31&lt;0,"N","P")</f>
        <v>P</v>
      </c>
      <c r="F26" s="7" t="str">
        <f>IF('Coefficients (7.1.1)'!F39&lt;0,"N","P")</f>
        <v>P</v>
      </c>
    </row>
    <row r="27" spans="1:6" x14ac:dyDescent="0.2">
      <c r="A27" s="16"/>
      <c r="B27" s="8" t="str">
        <f>IF('Coefficients (7.1.1)'!F8&lt;0,"N","P")</f>
        <v>N</v>
      </c>
      <c r="C27" s="9" t="str">
        <f>IF('Coefficients (7.1.1)'!F16&lt;0,"N","P")</f>
        <v>P</v>
      </c>
      <c r="D27" s="9" t="str">
        <f>IF('Coefficients (7.1.1)'!F24&lt;0,"N","P")</f>
        <v>P</v>
      </c>
      <c r="E27" s="9" t="str">
        <f>IF('Coefficients (7.1.1)'!F32&lt;0,"N","P")</f>
        <v>P</v>
      </c>
      <c r="F27" s="10" t="str">
        <f>IF('Coefficients (7.1.1)'!F40&lt;0,"N","P")</f>
        <v>P</v>
      </c>
    </row>
    <row r="28" spans="1:6" x14ac:dyDescent="0.2">
      <c r="A28" s="16" t="s">
        <v>7</v>
      </c>
      <c r="B28" s="3" t="str">
        <f>IF('Coefficients (7.1.1)'!G4&lt;0,"N","P")</f>
        <v>P</v>
      </c>
      <c r="C28" s="4" t="str">
        <f>IF('Coefficients (7.1.1)'!G12&lt;0,"N","P")</f>
        <v>N</v>
      </c>
      <c r="D28" s="4" t="str">
        <f>IF('Coefficients (7.1.1)'!G20&lt;0,"N","P")</f>
        <v>P</v>
      </c>
      <c r="E28" s="4" t="str">
        <f>IF('Coefficients (7.1.1)'!G28&lt;0,"N","P")</f>
        <v>N</v>
      </c>
      <c r="F28" s="5" t="str">
        <f>IF('Coefficients (7.1.1)'!G36&lt;0,"N","P")</f>
        <v>N</v>
      </c>
    </row>
    <row r="29" spans="1:6" x14ac:dyDescent="0.2">
      <c r="A29" s="16"/>
      <c r="B29" s="6" t="str">
        <f>IF('Coefficients (7.1.1)'!G5&lt;0,"N","P")</f>
        <v>P</v>
      </c>
      <c r="C29" s="1" t="str">
        <f>IF('Coefficients (7.1.1)'!G13&lt;0,"N","P")</f>
        <v>P</v>
      </c>
      <c r="D29" s="1" t="str">
        <f>IF('Coefficients (7.1.1)'!G21&lt;0,"N","P")</f>
        <v>P</v>
      </c>
      <c r="E29" s="1" t="str">
        <f>IF('Coefficients (7.1.1)'!G29&lt;0,"N","P")</f>
        <v>P</v>
      </c>
      <c r="F29" s="7" t="str">
        <f>IF('Coefficients (7.1.1)'!G37&lt;0,"N","P")</f>
        <v>P</v>
      </c>
    </row>
    <row r="30" spans="1:6" x14ac:dyDescent="0.2">
      <c r="A30" s="16"/>
      <c r="B30" s="6" t="str">
        <f>IF('Coefficients (7.1.1)'!G6&lt;0,"N","P")</f>
        <v>N</v>
      </c>
      <c r="C30" s="1" t="str">
        <f>IF('Coefficients (7.1.1)'!G14&lt;0,"N","P")</f>
        <v>N</v>
      </c>
      <c r="D30" s="1" t="str">
        <f>IF('Coefficients (7.1.1)'!G22&lt;0,"N","P")</f>
        <v>P</v>
      </c>
      <c r="E30" s="1" t="str">
        <f>IF('Coefficients (7.1.1)'!G30&lt;0,"N","P")</f>
        <v>N</v>
      </c>
      <c r="F30" s="7" t="str">
        <f>IF('Coefficients (7.1.1)'!G38&lt;0,"N","P")</f>
        <v>N</v>
      </c>
    </row>
    <row r="31" spans="1:6" x14ac:dyDescent="0.2">
      <c r="A31" s="16"/>
      <c r="B31" s="6" t="str">
        <f>IF('Coefficients (7.1.1)'!G7&lt;0,"N","P")</f>
        <v>P</v>
      </c>
      <c r="C31" s="1" t="str">
        <f>IF('Coefficients (7.1.1)'!G15&lt;0,"N","P")</f>
        <v>P</v>
      </c>
      <c r="D31" s="1" t="str">
        <f>IF('Coefficients (7.1.1)'!G23&lt;0,"N","P")</f>
        <v>P</v>
      </c>
      <c r="E31" s="1" t="str">
        <f>IF('Coefficients (7.1.1)'!G31&lt;0,"N","P")</f>
        <v>P</v>
      </c>
      <c r="F31" s="7" t="str">
        <f>IF('Coefficients (7.1.1)'!G39&lt;0,"N","P")</f>
        <v>P</v>
      </c>
    </row>
    <row r="32" spans="1:6" x14ac:dyDescent="0.2">
      <c r="A32" s="16"/>
      <c r="B32" s="8" t="str">
        <f>IF('Coefficients (7.1.1)'!G8&lt;0,"N","P")</f>
        <v>P</v>
      </c>
      <c r="C32" s="9" t="str">
        <f>IF('Coefficients (7.1.1)'!G16&lt;0,"N","P")</f>
        <v>P</v>
      </c>
      <c r="D32" s="9" t="str">
        <f>IF('Coefficients (7.1.1)'!G24&lt;0,"N","P")</f>
        <v>P</v>
      </c>
      <c r="E32" s="9" t="str">
        <f>IF('Coefficients (7.1.1)'!G32&lt;0,"N","P")</f>
        <v>P</v>
      </c>
      <c r="F32" s="10" t="str">
        <f>IF('Coefficients (7.1.1)'!G40&lt;0,"N","P")</f>
        <v>P</v>
      </c>
    </row>
    <row r="35" spans="1:3" x14ac:dyDescent="0.2">
      <c r="B35" s="1" t="s">
        <v>38</v>
      </c>
      <c r="C35" s="1" t="s">
        <v>39</v>
      </c>
    </row>
    <row r="36" spans="1:3" x14ac:dyDescent="0.2">
      <c r="A36" s="1" t="s">
        <v>4</v>
      </c>
      <c r="B36" s="11">
        <f>(COUNTIF(B3:F3,"N")+COUNTIF(B8:F8,"N")+COUNTIF(B13:F13,"N")+COUNTIF(B18:F18,"N")+COUNTIF(B23:F23,"N")+COUNTIF(B28:F28,"N"))/30</f>
        <v>0.9</v>
      </c>
      <c r="C36" s="11">
        <f>(COUNTIF(B3:F3,"P")+COUNTIF(B8:F8,"P")+COUNTIF(B13:F13,"P")+COUNTIF(B18:F18,"P")+COUNTIF(B23:F23,"P")+COUNTIF(B28:F28,"P"))/30</f>
        <v>0.1</v>
      </c>
    </row>
    <row r="37" spans="1:3" x14ac:dyDescent="0.2">
      <c r="A37" s="1" t="s">
        <v>3</v>
      </c>
      <c r="B37" s="11">
        <f>(COUNTIF(B4:F4,"N")+COUNTIF(B9:F9,"N")+COUNTIF(B14:F14,"N")+COUNTIF(B19:F19,"N")+COUNTIF(B24:F24,"N")+COUNTIF(B29:F29,"N"))/30</f>
        <v>0</v>
      </c>
      <c r="C37" s="11">
        <f>(COUNTIF(B4:F4,"P")+COUNTIF(B9:F9,"P")+COUNTIF(B14:F14,"P")+COUNTIF(B19:F19,"P")+COUNTIF(B24:F24,"P")+COUNTIF(B29:F29,"P"))/30</f>
        <v>1</v>
      </c>
    </row>
    <row r="38" spans="1:3" x14ac:dyDescent="0.2">
      <c r="A38" s="1" t="s">
        <v>2</v>
      </c>
      <c r="B38" s="11">
        <f>(COUNTIF(B5:F5,"N")+COUNTIF(B10:F10,"N")+COUNTIF(B15:F15,"N")+COUNTIF(B20:F20,"N")+COUNTIF(B25:F25,"N")+COUNTIF(B30:F30,"N"))/30</f>
        <v>0.96666666666666667</v>
      </c>
      <c r="C38" s="11">
        <f>(COUNTIF(B5:F5,"P")+COUNTIF(B10:F10,"P")+COUNTIF(B15:F15,"P")+COUNTIF(B20:F20,"P")+COUNTIF(B25:F25,"P")+COUNTIF(B30:F30,"P"))/30</f>
        <v>3.3333333333333333E-2</v>
      </c>
    </row>
    <row r="39" spans="1:3" x14ac:dyDescent="0.2">
      <c r="A39" s="1" t="s">
        <v>1</v>
      </c>
      <c r="B39" s="11">
        <f>(COUNTIF(B6:F6,"N")+COUNTIF(B11:F11,"N")+COUNTIF(B16:F16,"N")+COUNTIF(B21:F21,"N")+COUNTIF(B26:F26,"N")+COUNTIF(B31:F31,"N"))/30</f>
        <v>0.16666666666666666</v>
      </c>
      <c r="C39" s="11">
        <f>(COUNTIF(B6:F6,"P")+COUNTIF(B11:F11,"P")+COUNTIF(B16:F16,"P")+COUNTIF(B21:F21,"P")+COUNTIF(B26:F26,"P")+COUNTIF(B31:F31,"P"))/30</f>
        <v>0.83333333333333337</v>
      </c>
    </row>
    <row r="40" spans="1:3" x14ac:dyDescent="0.2">
      <c r="A40" s="1" t="s">
        <v>0</v>
      </c>
      <c r="B40" s="11">
        <f>(COUNTIF(B7:F7,"N")+COUNTIF(B12:F12,"N")+COUNTIF(B17:F17,"N")+COUNTIF(B22:F22,"N")+COUNTIF(B27:F27,"N")+COUNTIF(B32:F32,"N"))/30</f>
        <v>6.6666666666666666E-2</v>
      </c>
      <c r="C40" s="11">
        <f>(COUNTIF(B7:F7,"P")+COUNTIF(B12:F12,"P")+COUNTIF(B17:F17,"P")+COUNTIF(B22:F22,"P")+COUNTIF(B27:F27,"P")+COUNTIF(B32:F32,"P"))/30</f>
        <v>0.93333333333333335</v>
      </c>
    </row>
  </sheetData>
  <mergeCells count="7">
    <mergeCell ref="A28:A32"/>
    <mergeCell ref="B1:F1"/>
    <mergeCell ref="A3:A7"/>
    <mergeCell ref="A8:A12"/>
    <mergeCell ref="A13:A17"/>
    <mergeCell ref="A18:A22"/>
    <mergeCell ref="A23:A27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D43D6-0909-4E16-9815-30AC1C7AA89E}">
  <dimension ref="A1:H40"/>
  <sheetViews>
    <sheetView workbookViewId="0"/>
  </sheetViews>
  <sheetFormatPr defaultColWidth="9.109375" defaultRowHeight="10.199999999999999" x14ac:dyDescent="0.2"/>
  <cols>
    <col min="1" max="1" width="28.44140625" style="1" bestFit="1" customWidth="1"/>
    <col min="2" max="7" width="10.33203125" style="2" bestFit="1" customWidth="1"/>
    <col min="8" max="16384" width="9.109375" style="1"/>
  </cols>
  <sheetData>
    <row r="1" spans="1:8" x14ac:dyDescent="0.2">
      <c r="B1" s="2" t="s">
        <v>34</v>
      </c>
      <c r="H1" s="2"/>
    </row>
    <row r="2" spans="1:8" x14ac:dyDescent="0.2">
      <c r="B2" s="2" t="s">
        <v>18</v>
      </c>
      <c r="H2" s="2"/>
    </row>
    <row r="3" spans="1:8" x14ac:dyDescent="0.2">
      <c r="B3" s="2" t="s">
        <v>12</v>
      </c>
      <c r="C3" s="2" t="s">
        <v>11</v>
      </c>
      <c r="D3" s="2" t="s">
        <v>10</v>
      </c>
      <c r="E3" s="2" t="s">
        <v>9</v>
      </c>
      <c r="F3" s="2" t="s">
        <v>8</v>
      </c>
      <c r="G3" s="2" t="s">
        <v>7</v>
      </c>
      <c r="H3" s="2"/>
    </row>
    <row r="4" spans="1:8" x14ac:dyDescent="0.2">
      <c r="A4" s="1" t="s">
        <v>26</v>
      </c>
      <c r="B4" s="2">
        <v>2.8799999999999999E-2</v>
      </c>
      <c r="C4" s="2">
        <v>-1.1299999999999999E-2</v>
      </c>
      <c r="D4" s="2">
        <v>3.5400000000000001E-2</v>
      </c>
      <c r="E4" s="2">
        <v>-1.01E-2</v>
      </c>
      <c r="F4" s="2">
        <v>3.0000000000000001E-3</v>
      </c>
      <c r="G4" s="2">
        <v>-2.93E-2</v>
      </c>
    </row>
    <row r="5" spans="1:8" x14ac:dyDescent="0.2">
      <c r="A5" s="1" t="s">
        <v>30</v>
      </c>
      <c r="B5" s="2">
        <v>4.5999999999999999E-2</v>
      </c>
      <c r="C5" s="2">
        <v>-6.1499999999999999E-2</v>
      </c>
      <c r="D5" s="2">
        <v>-4.7600000000000003E-2</v>
      </c>
      <c r="E5" s="2">
        <v>1.17E-2</v>
      </c>
      <c r="F5" s="2">
        <v>4.0399999999999998E-2</v>
      </c>
      <c r="G5" s="2">
        <v>1.2800000000000001E-2</v>
      </c>
    </row>
    <row r="6" spans="1:8" x14ac:dyDescent="0.2">
      <c r="A6" s="1" t="s">
        <v>35</v>
      </c>
      <c r="B6" s="2">
        <v>-8.6999999999999994E-3</v>
      </c>
      <c r="C6" s="2">
        <v>-6.8199999999999997E-2</v>
      </c>
      <c r="D6" s="2">
        <v>-5.8999999999999997E-2</v>
      </c>
      <c r="E6" s="2">
        <v>-4.4200000000000003E-2</v>
      </c>
      <c r="F6" s="2">
        <v>-9.7699999999999995E-2</v>
      </c>
      <c r="G6" s="2">
        <v>-1.17E-2</v>
      </c>
    </row>
    <row r="7" spans="1:8" x14ac:dyDescent="0.2">
      <c r="A7" s="1" t="s">
        <v>36</v>
      </c>
      <c r="B7" s="2">
        <v>1.2784</v>
      </c>
      <c r="C7" s="2">
        <v>0.84350000000000003</v>
      </c>
      <c r="D7" s="2">
        <v>1.1348</v>
      </c>
      <c r="E7" s="2">
        <v>0.91120000000000001</v>
      </c>
      <c r="F7" s="2">
        <v>0.78390000000000004</v>
      </c>
      <c r="G7" s="2">
        <v>0.80259999999999998</v>
      </c>
    </row>
    <row r="8" spans="1:8" x14ac:dyDescent="0.2">
      <c r="A8" s="1" t="s">
        <v>37</v>
      </c>
      <c r="B8" s="2">
        <v>-0.25519999999999998</v>
      </c>
      <c r="C8" s="2">
        <v>2.58E-2</v>
      </c>
      <c r="D8" s="2">
        <v>-4.6199999999999998E-2</v>
      </c>
      <c r="E8" s="2">
        <v>-9.2999999999999999E-2</v>
      </c>
      <c r="F8" s="2">
        <v>-4.3400000000000001E-2</v>
      </c>
      <c r="G8" s="2">
        <v>-0.19639999999999999</v>
      </c>
    </row>
    <row r="10" spans="1:8" x14ac:dyDescent="0.2">
      <c r="B10" s="2" t="s">
        <v>19</v>
      </c>
      <c r="H10" s="2"/>
    </row>
    <row r="11" spans="1:8" x14ac:dyDescent="0.2">
      <c r="B11" s="2" t="s">
        <v>12</v>
      </c>
      <c r="C11" s="2" t="s">
        <v>11</v>
      </c>
      <c r="D11" s="2" t="s">
        <v>10</v>
      </c>
      <c r="E11" s="2" t="s">
        <v>9</v>
      </c>
      <c r="F11" s="2" t="s">
        <v>8</v>
      </c>
      <c r="G11" s="2" t="s">
        <v>7</v>
      </c>
      <c r="H11" s="2"/>
    </row>
    <row r="12" spans="1:8" x14ac:dyDescent="0.2">
      <c r="A12" s="1" t="s">
        <v>26</v>
      </c>
      <c r="B12" s="2">
        <v>-6.1000000000000004E-3</v>
      </c>
      <c r="C12" s="2">
        <v>-4.3299999999999998E-2</v>
      </c>
      <c r="D12" s="2">
        <v>-2.1100000000000001E-2</v>
      </c>
      <c r="E12" s="2">
        <v>-3.2099999999999997E-2</v>
      </c>
      <c r="F12" s="2">
        <v>-3.2899999999999999E-2</v>
      </c>
      <c r="G12" s="2">
        <v>-1.54E-2</v>
      </c>
    </row>
    <row r="13" spans="1:8" x14ac:dyDescent="0.2">
      <c r="A13" s="1" t="s">
        <v>30</v>
      </c>
      <c r="B13" s="2">
        <v>2.2599999999999999E-2</v>
      </c>
      <c r="C13" s="2">
        <v>-5.3800000000000001E-2</v>
      </c>
      <c r="D13" s="2">
        <v>-7.9000000000000001E-2</v>
      </c>
      <c r="E13" s="2">
        <v>-5.8599999999999999E-2</v>
      </c>
      <c r="F13" s="2">
        <v>-4.4900000000000002E-2</v>
      </c>
      <c r="G13" s="2">
        <v>1.77E-2</v>
      </c>
    </row>
    <row r="14" spans="1:8" x14ac:dyDescent="0.2">
      <c r="A14" s="1" t="s">
        <v>31</v>
      </c>
      <c r="B14" s="2">
        <v>-1.84E-2</v>
      </c>
      <c r="C14" s="2">
        <v>-0.1033</v>
      </c>
      <c r="D14" s="2">
        <v>-8.2299999999999998E-2</v>
      </c>
      <c r="E14" s="2">
        <v>-6.2E-2</v>
      </c>
      <c r="F14" s="2">
        <v>-6.3899999999999998E-2</v>
      </c>
      <c r="G14" s="2">
        <v>-2.0000000000000001E-4</v>
      </c>
    </row>
    <row r="15" spans="1:8" x14ac:dyDescent="0.2">
      <c r="A15" s="1" t="s">
        <v>32</v>
      </c>
      <c r="B15" s="2">
        <v>1.2775000000000001</v>
      </c>
      <c r="C15" s="2">
        <v>0.77900000000000003</v>
      </c>
      <c r="D15" s="2">
        <v>1.1427</v>
      </c>
      <c r="E15" s="2">
        <v>0.97550000000000003</v>
      </c>
      <c r="F15" s="2">
        <v>0.67920000000000003</v>
      </c>
      <c r="G15" s="2">
        <v>0.75700000000000001</v>
      </c>
    </row>
    <row r="16" spans="1:8" x14ac:dyDescent="0.2">
      <c r="A16" s="1" t="s">
        <v>33</v>
      </c>
      <c r="B16" s="2">
        <v>-0.27879999999999999</v>
      </c>
      <c r="C16" s="2">
        <v>-5.3699999999999998E-2</v>
      </c>
      <c r="D16" s="2">
        <v>-7.6499999999999999E-2</v>
      </c>
      <c r="E16" s="2">
        <v>-8.6599999999999996E-2</v>
      </c>
      <c r="F16" s="2">
        <v>-7.0099999999999996E-2</v>
      </c>
      <c r="G16" s="2">
        <v>-0.27400000000000002</v>
      </c>
    </row>
    <row r="18" spans="1:8" x14ac:dyDescent="0.2">
      <c r="B18" s="2" t="s">
        <v>20</v>
      </c>
      <c r="H18" s="2"/>
    </row>
    <row r="19" spans="1:8" x14ac:dyDescent="0.2">
      <c r="B19" s="2" t="s">
        <v>12</v>
      </c>
      <c r="C19" s="2" t="s">
        <v>11</v>
      </c>
      <c r="D19" s="2" t="s">
        <v>10</v>
      </c>
      <c r="E19" s="2" t="s">
        <v>9</v>
      </c>
      <c r="F19" s="2" t="s">
        <v>8</v>
      </c>
      <c r="G19" s="2" t="s">
        <v>7</v>
      </c>
      <c r="H19" s="2"/>
    </row>
    <row r="20" spans="1:8" x14ac:dyDescent="0.2">
      <c r="A20" s="1" t="s">
        <v>26</v>
      </c>
      <c r="B20" s="2">
        <v>1.14E-2</v>
      </c>
      <c r="C20" s="2">
        <v>-5.4100000000000002E-2</v>
      </c>
      <c r="D20" s="2">
        <v>-1.2500000000000001E-2</v>
      </c>
      <c r="E20" s="2">
        <v>-5.0500000000000003E-2</v>
      </c>
      <c r="F20" s="2">
        <v>-3.6499999999999998E-2</v>
      </c>
      <c r="G20" s="2">
        <v>-2.7900000000000001E-2</v>
      </c>
    </row>
    <row r="21" spans="1:8" x14ac:dyDescent="0.2">
      <c r="A21" s="1" t="s">
        <v>30</v>
      </c>
      <c r="B21" s="2">
        <v>-1.8200000000000001E-2</v>
      </c>
      <c r="C21" s="2">
        <v>-9.9599999999999994E-2</v>
      </c>
      <c r="D21" s="2">
        <v>-0.10639999999999999</v>
      </c>
      <c r="E21" s="2">
        <v>-6.9800000000000001E-2</v>
      </c>
      <c r="F21" s="2">
        <v>-4.4400000000000002E-2</v>
      </c>
      <c r="G21" s="2">
        <v>-2.8899999999999999E-2</v>
      </c>
    </row>
    <row r="22" spans="1:8" x14ac:dyDescent="0.2">
      <c r="A22" s="1" t="s">
        <v>31</v>
      </c>
      <c r="B22" s="2">
        <v>-5.2400000000000002E-2</v>
      </c>
      <c r="C22" s="2">
        <v>-9.2600000000000002E-2</v>
      </c>
      <c r="D22" s="2">
        <v>-7.17E-2</v>
      </c>
      <c r="E22" s="2">
        <v>-6.9000000000000006E-2</v>
      </c>
      <c r="F22" s="2">
        <v>-0.19389999999999999</v>
      </c>
      <c r="G22" s="2">
        <v>-2.01E-2</v>
      </c>
    </row>
    <row r="23" spans="1:8" x14ac:dyDescent="0.2">
      <c r="A23" s="1" t="s">
        <v>32</v>
      </c>
      <c r="B23" s="2">
        <v>1.3090999999999999</v>
      </c>
      <c r="C23" s="2">
        <v>0.85850000000000004</v>
      </c>
      <c r="D23" s="2">
        <v>1.2722</v>
      </c>
      <c r="E23" s="2">
        <v>0.998</v>
      </c>
      <c r="F23" s="2">
        <v>0.92100000000000004</v>
      </c>
      <c r="G23" s="2">
        <v>0.6714</v>
      </c>
    </row>
    <row r="24" spans="1:8" x14ac:dyDescent="0.2">
      <c r="A24" s="1" t="s">
        <v>33</v>
      </c>
      <c r="B24" s="2">
        <v>-0.20549999999999999</v>
      </c>
      <c r="C24" s="2">
        <v>4.3499999999999997E-2</v>
      </c>
      <c r="D24" s="2">
        <v>-1.46E-2</v>
      </c>
      <c r="E24" s="2">
        <v>-3.0700000000000002E-2</v>
      </c>
      <c r="F24" s="2">
        <v>-6.0100000000000001E-2</v>
      </c>
      <c r="G24" s="2">
        <v>-0.12239999999999999</v>
      </c>
    </row>
    <row r="26" spans="1:8" x14ac:dyDescent="0.2">
      <c r="B26" s="2" t="s">
        <v>21</v>
      </c>
      <c r="H26" s="2"/>
    </row>
    <row r="27" spans="1:8" x14ac:dyDescent="0.2">
      <c r="B27" s="2" t="s">
        <v>12</v>
      </c>
      <c r="C27" s="2" t="s">
        <v>11</v>
      </c>
      <c r="D27" s="2" t="s">
        <v>10</v>
      </c>
      <c r="E27" s="2" t="s">
        <v>9</v>
      </c>
      <c r="F27" s="2" t="s">
        <v>8</v>
      </c>
      <c r="G27" s="2" t="s">
        <v>7</v>
      </c>
      <c r="H27" s="2"/>
    </row>
    <row r="28" spans="1:8" x14ac:dyDescent="0.2">
      <c r="A28" s="1" t="s">
        <v>26</v>
      </c>
      <c r="B28" s="2">
        <v>-8.0000000000000004E-4</v>
      </c>
      <c r="C28" s="2">
        <v>-1.9800000000000002E-2</v>
      </c>
      <c r="D28" s="2">
        <v>-6.0000000000000001E-3</v>
      </c>
      <c r="E28" s="2">
        <v>-4.5999999999999999E-3</v>
      </c>
      <c r="F28" s="2">
        <v>-5.1499999999999997E-2</v>
      </c>
      <c r="G28" s="2">
        <v>-4.3999999999999997E-2</v>
      </c>
    </row>
    <row r="29" spans="1:8" x14ac:dyDescent="0.2">
      <c r="A29" s="1" t="s">
        <v>30</v>
      </c>
      <c r="B29" s="2">
        <v>-1.3299999999999999E-2</v>
      </c>
      <c r="C29" s="2">
        <v>-6.7699999999999996E-2</v>
      </c>
      <c r="D29" s="2">
        <v>-6.0600000000000001E-2</v>
      </c>
      <c r="E29" s="2">
        <v>-7.4000000000000003E-3</v>
      </c>
      <c r="F29" s="2">
        <v>2.24E-2</v>
      </c>
      <c r="G29" s="2">
        <v>-6.0000000000000001E-3</v>
      </c>
    </row>
    <row r="30" spans="1:8" x14ac:dyDescent="0.2">
      <c r="A30" s="1" t="s">
        <v>31</v>
      </c>
      <c r="B30" s="2">
        <v>-5.0200000000000002E-2</v>
      </c>
      <c r="C30" s="2">
        <v>-0.14860000000000001</v>
      </c>
      <c r="D30" s="2">
        <v>-2.23E-2</v>
      </c>
      <c r="E30" s="2">
        <v>-7.8799999999999995E-2</v>
      </c>
      <c r="F30" s="2">
        <v>-0.1386</v>
      </c>
      <c r="G30" s="2">
        <v>-1.8E-3</v>
      </c>
    </row>
    <row r="31" spans="1:8" x14ac:dyDescent="0.2">
      <c r="A31" s="1" t="s">
        <v>32</v>
      </c>
      <c r="B31" s="2">
        <v>1.1651</v>
      </c>
      <c r="C31" s="2">
        <v>0.89749999999999996</v>
      </c>
      <c r="D31" s="2">
        <v>1.2399</v>
      </c>
      <c r="E31" s="2">
        <v>1.1062000000000001</v>
      </c>
      <c r="F31" s="2">
        <v>0.8679</v>
      </c>
      <c r="G31" s="2">
        <v>1.0728</v>
      </c>
    </row>
    <row r="32" spans="1:8" x14ac:dyDescent="0.2">
      <c r="A32" s="1" t="s">
        <v>33</v>
      </c>
      <c r="B32" s="2">
        <v>-0.1167</v>
      </c>
      <c r="C32" s="2">
        <v>2.8799999999999999E-2</v>
      </c>
      <c r="D32" s="2">
        <v>-5.5599999999999997E-2</v>
      </c>
      <c r="E32" s="2">
        <v>-9.8000000000000004E-2</v>
      </c>
      <c r="F32" s="2">
        <v>-0.10489999999999999</v>
      </c>
      <c r="G32" s="2">
        <v>-0.1492</v>
      </c>
    </row>
    <row r="34" spans="1:8" x14ac:dyDescent="0.2">
      <c r="B34" s="2" t="s">
        <v>22</v>
      </c>
      <c r="H34" s="2"/>
    </row>
    <row r="35" spans="1:8" x14ac:dyDescent="0.2">
      <c r="B35" s="2" t="s">
        <v>12</v>
      </c>
      <c r="C35" s="2" t="s">
        <v>11</v>
      </c>
      <c r="D35" s="2" t="s">
        <v>10</v>
      </c>
      <c r="E35" s="2" t="s">
        <v>9</v>
      </c>
      <c r="F35" s="2" t="s">
        <v>8</v>
      </c>
      <c r="G35" s="2" t="s">
        <v>7</v>
      </c>
      <c r="H35" s="2"/>
    </row>
    <row r="36" spans="1:8" x14ac:dyDescent="0.2">
      <c r="A36" s="1" t="s">
        <v>26</v>
      </c>
      <c r="B36" s="2">
        <v>-2.0999999999999999E-3</v>
      </c>
      <c r="C36" s="2">
        <v>-1.17E-2</v>
      </c>
      <c r="D36" s="2">
        <v>-1.4E-3</v>
      </c>
      <c r="E36" s="2">
        <v>-2.8000000000000001E-2</v>
      </c>
      <c r="F36" s="2">
        <v>-1.1900000000000001E-2</v>
      </c>
      <c r="G36" s="2">
        <v>-3.5999999999999997E-2</v>
      </c>
    </row>
    <row r="37" spans="1:8" x14ac:dyDescent="0.2">
      <c r="A37" s="1" t="s">
        <v>30</v>
      </c>
      <c r="B37" s="2">
        <v>3.9399999999999998E-2</v>
      </c>
      <c r="C37" s="2">
        <v>-9.4299999999999995E-2</v>
      </c>
      <c r="D37" s="2">
        <v>-1.1900000000000001E-2</v>
      </c>
      <c r="E37" s="2">
        <v>-2.3900000000000001E-2</v>
      </c>
      <c r="F37" s="2">
        <v>2.69E-2</v>
      </c>
      <c r="G37" s="2">
        <v>-1.5699999999999999E-2</v>
      </c>
    </row>
    <row r="38" spans="1:8" x14ac:dyDescent="0.2">
      <c r="A38" s="1" t="s">
        <v>35</v>
      </c>
      <c r="B38" s="2">
        <v>4.0000000000000001E-3</v>
      </c>
      <c r="C38" s="2">
        <v>-3.78E-2</v>
      </c>
      <c r="D38" s="2">
        <v>-1.4E-3</v>
      </c>
      <c r="E38" s="2">
        <v>-8.5000000000000006E-2</v>
      </c>
      <c r="F38" s="2">
        <v>-7.2800000000000004E-2</v>
      </c>
      <c r="G38" s="2">
        <v>-2.5100000000000001E-2</v>
      </c>
    </row>
    <row r="39" spans="1:8" x14ac:dyDescent="0.2">
      <c r="A39" s="1" t="s">
        <v>36</v>
      </c>
      <c r="B39" s="2">
        <v>1.2262</v>
      </c>
      <c r="C39" s="2">
        <v>0.89780000000000004</v>
      </c>
      <c r="D39" s="2">
        <v>1.1279999999999999</v>
      </c>
      <c r="E39" s="2">
        <v>1.0068999999999999</v>
      </c>
      <c r="F39" s="2">
        <v>0.85740000000000005</v>
      </c>
      <c r="G39" s="2">
        <v>0.9173</v>
      </c>
    </row>
    <row r="40" spans="1:8" x14ac:dyDescent="0.2">
      <c r="A40" s="1" t="s">
        <v>37</v>
      </c>
      <c r="B40" s="2">
        <v>-0.2145</v>
      </c>
      <c r="C40" s="2">
        <v>6.6199999999999995E-2</v>
      </c>
      <c r="D40" s="2">
        <v>-8.48E-2</v>
      </c>
      <c r="E40" s="2">
        <v>-4.7600000000000003E-2</v>
      </c>
      <c r="F40" s="2">
        <v>-0.1053</v>
      </c>
      <c r="G40" s="2">
        <v>-0.1022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1B6D-AFB3-4F05-A9F1-C128CBD72A5E}">
  <dimension ref="A1:H40"/>
  <sheetViews>
    <sheetView workbookViewId="0"/>
  </sheetViews>
  <sheetFormatPr defaultColWidth="9.109375" defaultRowHeight="10.199999999999999" x14ac:dyDescent="0.2"/>
  <cols>
    <col min="1" max="1" width="28.44140625" style="1" bestFit="1" customWidth="1"/>
    <col min="2" max="7" width="10.33203125" style="2" bestFit="1" customWidth="1"/>
    <col min="8" max="16384" width="9.109375" style="1"/>
  </cols>
  <sheetData>
    <row r="1" spans="1:8" x14ac:dyDescent="0.2">
      <c r="B1" s="2" t="s">
        <v>29</v>
      </c>
      <c r="H1" s="2"/>
    </row>
    <row r="2" spans="1:8" x14ac:dyDescent="0.2">
      <c r="B2" s="2" t="s">
        <v>18</v>
      </c>
      <c r="H2" s="2"/>
    </row>
    <row r="3" spans="1:8" x14ac:dyDescent="0.2">
      <c r="B3" s="2" t="s">
        <v>12</v>
      </c>
      <c r="C3" s="2" t="s">
        <v>11</v>
      </c>
      <c r="D3" s="2" t="s">
        <v>10</v>
      </c>
      <c r="E3" s="2" t="s">
        <v>9</v>
      </c>
      <c r="F3" s="2" t="s">
        <v>8</v>
      </c>
      <c r="G3" s="2" t="s">
        <v>7</v>
      </c>
      <c r="H3" s="2"/>
    </row>
    <row r="4" spans="1:8" x14ac:dyDescent="0.2">
      <c r="A4" s="1" t="s">
        <v>26</v>
      </c>
      <c r="B4" s="2">
        <v>0.15079999999999999</v>
      </c>
      <c r="C4" s="2">
        <v>0.18790000000000001</v>
      </c>
      <c r="D4" s="2">
        <v>0.22439999999999999</v>
      </c>
      <c r="E4" s="2">
        <v>0.37980000000000003</v>
      </c>
      <c r="F4" s="2">
        <v>0.26900000000000002</v>
      </c>
      <c r="G4" s="2">
        <v>0.1172</v>
      </c>
    </row>
    <row r="5" spans="1:8" x14ac:dyDescent="0.2">
      <c r="A5" s="1" t="s">
        <v>30</v>
      </c>
      <c r="B5" s="2">
        <v>-0.41749999999999998</v>
      </c>
      <c r="C5" s="2">
        <v>-0.1943</v>
      </c>
      <c r="D5" s="2">
        <v>-0.32419999999999999</v>
      </c>
      <c r="E5" s="2">
        <v>-0.37719999999999998</v>
      </c>
      <c r="F5" s="2">
        <v>0.16830000000000001</v>
      </c>
      <c r="G5" s="2">
        <v>3.3000000000000002E-2</v>
      </c>
    </row>
    <row r="6" spans="1:8" x14ac:dyDescent="0.2">
      <c r="A6" s="1" t="s">
        <v>31</v>
      </c>
      <c r="B6" s="2">
        <v>0.63670000000000004</v>
      </c>
      <c r="C6" s="2">
        <v>-1.2750999999999999</v>
      </c>
      <c r="D6" s="2">
        <v>-0.36059999999999998</v>
      </c>
      <c r="E6" s="2">
        <v>-0.38779999999999998</v>
      </c>
      <c r="F6" s="2">
        <v>0.17469999999999999</v>
      </c>
      <c r="G6" s="2">
        <v>1.2890999999999999</v>
      </c>
    </row>
    <row r="7" spans="1:8" x14ac:dyDescent="0.2">
      <c r="A7" s="1" t="s">
        <v>32</v>
      </c>
      <c r="B7" s="2">
        <v>8.4105000000000008</v>
      </c>
      <c r="C7" s="2">
        <v>6.9722</v>
      </c>
      <c r="D7" s="2">
        <v>7.9337</v>
      </c>
      <c r="E7" s="2">
        <v>6.9917999999999996</v>
      </c>
      <c r="F7" s="2">
        <v>4.6547000000000001</v>
      </c>
      <c r="G7" s="2">
        <v>9.1906999999999996</v>
      </c>
    </row>
    <row r="8" spans="1:8" x14ac:dyDescent="0.2">
      <c r="A8" s="1" t="s">
        <v>33</v>
      </c>
      <c r="B8" s="2">
        <v>-0.49859999999999999</v>
      </c>
      <c r="C8" s="2">
        <v>-0.43890000000000001</v>
      </c>
      <c r="D8" s="2">
        <v>-0.20549999999999999</v>
      </c>
      <c r="E8" s="2">
        <v>-0.28939999999999999</v>
      </c>
      <c r="F8" s="2">
        <v>-0.44119999999999998</v>
      </c>
      <c r="G8" s="2">
        <v>-0.92359999999999998</v>
      </c>
    </row>
    <row r="10" spans="1:8" x14ac:dyDescent="0.2">
      <c r="B10" s="2" t="s">
        <v>19</v>
      </c>
      <c r="H10" s="2"/>
    </row>
    <row r="11" spans="1:8" x14ac:dyDescent="0.2">
      <c r="B11" s="2" t="s">
        <v>12</v>
      </c>
      <c r="C11" s="2" t="s">
        <v>11</v>
      </c>
      <c r="D11" s="2" t="s">
        <v>10</v>
      </c>
      <c r="E11" s="2" t="s">
        <v>9</v>
      </c>
      <c r="F11" s="2" t="s">
        <v>8</v>
      </c>
      <c r="G11" s="2" t="s">
        <v>7</v>
      </c>
      <c r="H11" s="2"/>
    </row>
    <row r="12" spans="1:8" x14ac:dyDescent="0.2">
      <c r="A12" s="1" t="s">
        <v>26</v>
      </c>
      <c r="B12" s="2">
        <v>0.2326</v>
      </c>
      <c r="C12" s="2">
        <v>0.3755</v>
      </c>
      <c r="D12" s="2">
        <v>0.15939999999999999</v>
      </c>
      <c r="E12" s="2">
        <v>0.18609999999999999</v>
      </c>
      <c r="F12" s="2">
        <v>-3.5400000000000001E-2</v>
      </c>
      <c r="G12" s="2">
        <v>-2.8E-3</v>
      </c>
    </row>
    <row r="13" spans="1:8" x14ac:dyDescent="0.2">
      <c r="A13" s="1" t="s">
        <v>30</v>
      </c>
      <c r="B13" s="2">
        <v>-0.16</v>
      </c>
      <c r="C13" s="2">
        <v>9.8400000000000001E-2</v>
      </c>
      <c r="D13" s="2">
        <v>-0.56769999999999998</v>
      </c>
      <c r="E13" s="2">
        <v>-0.3523</v>
      </c>
      <c r="F13" s="2">
        <v>8.2500000000000004E-2</v>
      </c>
      <c r="G13" s="2">
        <v>-0.34699999999999998</v>
      </c>
    </row>
    <row r="14" spans="1:8" x14ac:dyDescent="0.2">
      <c r="A14" s="1" t="s">
        <v>31</v>
      </c>
      <c r="B14" s="2">
        <v>4.1260000000000003</v>
      </c>
      <c r="C14" s="2">
        <v>3.8401000000000001</v>
      </c>
      <c r="D14" s="2">
        <v>3.8039000000000001</v>
      </c>
      <c r="E14" s="2">
        <v>3.5066000000000002</v>
      </c>
      <c r="F14" s="2">
        <v>2.8382999999999998</v>
      </c>
      <c r="G14" s="2">
        <v>3.6353</v>
      </c>
    </row>
    <row r="15" spans="1:8" x14ac:dyDescent="0.2">
      <c r="A15" s="1" t="s">
        <v>32</v>
      </c>
      <c r="B15" s="2">
        <v>4.3197000000000001</v>
      </c>
      <c r="C15" s="2">
        <v>1.7517</v>
      </c>
      <c r="D15" s="2">
        <v>6.1406999999999998</v>
      </c>
      <c r="E15" s="2">
        <v>5.08</v>
      </c>
      <c r="F15" s="2">
        <v>3.7957999999999998</v>
      </c>
      <c r="G15" s="2">
        <v>7.9793000000000003</v>
      </c>
    </row>
    <row r="16" spans="1:8" x14ac:dyDescent="0.2">
      <c r="A16" s="1" t="s">
        <v>33</v>
      </c>
      <c r="B16" s="2">
        <v>-0.55030000000000001</v>
      </c>
      <c r="C16" s="2">
        <v>-0.2888</v>
      </c>
      <c r="D16" s="2">
        <v>-0.36130000000000001</v>
      </c>
      <c r="E16" s="2">
        <v>-0.376</v>
      </c>
      <c r="F16" s="2">
        <v>-0.2319</v>
      </c>
      <c r="G16" s="2">
        <v>-0.81110000000000004</v>
      </c>
    </row>
    <row r="18" spans="1:8" x14ac:dyDescent="0.2">
      <c r="B18" s="2" t="s">
        <v>20</v>
      </c>
      <c r="H18" s="2"/>
    </row>
    <row r="19" spans="1:8" x14ac:dyDescent="0.2">
      <c r="B19" s="2" t="s">
        <v>12</v>
      </c>
      <c r="C19" s="2" t="s">
        <v>11</v>
      </c>
      <c r="D19" s="2" t="s">
        <v>10</v>
      </c>
      <c r="E19" s="2" t="s">
        <v>9</v>
      </c>
      <c r="F19" s="2" t="s">
        <v>8</v>
      </c>
      <c r="G19" s="2" t="s">
        <v>7</v>
      </c>
      <c r="H19" s="2"/>
    </row>
    <row r="20" spans="1:8" x14ac:dyDescent="0.2">
      <c r="A20" s="1" t="s">
        <v>26</v>
      </c>
      <c r="B20" s="2">
        <v>9.1700000000000004E-2</v>
      </c>
      <c r="C20" s="2">
        <v>0.30170000000000002</v>
      </c>
      <c r="D20" s="2">
        <v>-1.9900000000000001E-2</v>
      </c>
      <c r="E20" s="2">
        <v>0.31240000000000001</v>
      </c>
      <c r="F20" s="2">
        <v>-0.1721</v>
      </c>
      <c r="G20" s="2">
        <v>-0.10539999999999999</v>
      </c>
    </row>
    <row r="21" spans="1:8" x14ac:dyDescent="0.2">
      <c r="A21" s="1" t="s">
        <v>30</v>
      </c>
      <c r="B21" s="2">
        <v>-0.1608</v>
      </c>
      <c r="C21" s="2">
        <v>-6.1800000000000001E-2</v>
      </c>
      <c r="D21" s="2">
        <v>-0.34250000000000003</v>
      </c>
      <c r="E21" s="2">
        <v>-9.98E-2</v>
      </c>
      <c r="F21" s="2">
        <v>2.41E-2</v>
      </c>
      <c r="G21" s="2">
        <v>-0.32469999999999999</v>
      </c>
    </row>
    <row r="22" spans="1:8" x14ac:dyDescent="0.2">
      <c r="A22" s="1" t="s">
        <v>31</v>
      </c>
      <c r="B22" s="2">
        <v>5.4568000000000003</v>
      </c>
      <c r="C22" s="2">
        <v>5.0970000000000004</v>
      </c>
      <c r="D22" s="2">
        <v>3.8289</v>
      </c>
      <c r="E22" s="2">
        <v>4.6660000000000004</v>
      </c>
      <c r="F22" s="2">
        <v>3.9809000000000001</v>
      </c>
      <c r="G22" s="2">
        <v>4.9301000000000004</v>
      </c>
    </row>
    <row r="23" spans="1:8" x14ac:dyDescent="0.2">
      <c r="A23" s="1" t="s">
        <v>32</v>
      </c>
      <c r="B23" s="2">
        <v>5.5978000000000003</v>
      </c>
      <c r="C23" s="2">
        <v>3.0211999999999999</v>
      </c>
      <c r="D23" s="2">
        <v>6.8303000000000003</v>
      </c>
      <c r="E23" s="2">
        <v>3.0583</v>
      </c>
      <c r="F23" s="2">
        <v>4.5355999999999996</v>
      </c>
      <c r="G23" s="2">
        <v>5.8609</v>
      </c>
    </row>
    <row r="24" spans="1:8" x14ac:dyDescent="0.2">
      <c r="A24" s="1" t="s">
        <v>33</v>
      </c>
      <c r="B24" s="2">
        <v>-0.52739999999999998</v>
      </c>
      <c r="C24" s="2">
        <v>-0.41770000000000002</v>
      </c>
      <c r="D24" s="2">
        <v>-4.8899999999999999E-2</v>
      </c>
      <c r="E24" s="2">
        <v>-0.18440000000000001</v>
      </c>
      <c r="F24" s="2">
        <v>-3.95E-2</v>
      </c>
      <c r="G24" s="2">
        <v>-0.61660000000000004</v>
      </c>
    </row>
    <row r="26" spans="1:8" x14ac:dyDescent="0.2">
      <c r="B26" s="2" t="s">
        <v>21</v>
      </c>
      <c r="H26" s="2"/>
    </row>
    <row r="27" spans="1:8" x14ac:dyDescent="0.2">
      <c r="B27" s="2" t="s">
        <v>12</v>
      </c>
      <c r="C27" s="2" t="s">
        <v>11</v>
      </c>
      <c r="D27" s="2" t="s">
        <v>10</v>
      </c>
      <c r="E27" s="2" t="s">
        <v>9</v>
      </c>
      <c r="F27" s="2" t="s">
        <v>8</v>
      </c>
      <c r="G27" s="2" t="s">
        <v>7</v>
      </c>
      <c r="H27" s="2"/>
    </row>
    <row r="28" spans="1:8" x14ac:dyDescent="0.2">
      <c r="A28" s="1" t="s">
        <v>26</v>
      </c>
      <c r="B28" s="2">
        <v>0.2606</v>
      </c>
      <c r="C28" s="2">
        <v>0.44519999999999998</v>
      </c>
      <c r="D28" s="2">
        <v>0.27029999999999998</v>
      </c>
      <c r="E28" s="2">
        <v>0.64980000000000004</v>
      </c>
      <c r="F28" s="2">
        <v>0.27739999999999998</v>
      </c>
      <c r="G28" s="2">
        <v>0.56579999999999997</v>
      </c>
    </row>
    <row r="29" spans="1:8" x14ac:dyDescent="0.2">
      <c r="A29" s="1" t="s">
        <v>30</v>
      </c>
      <c r="B29" s="2">
        <v>-0.35120000000000001</v>
      </c>
      <c r="C29" s="2">
        <v>-0.191</v>
      </c>
      <c r="D29" s="2">
        <v>-0.29749999999999999</v>
      </c>
      <c r="E29" s="2">
        <v>-0.27139999999999997</v>
      </c>
      <c r="F29" s="2">
        <v>-0.44769999999999999</v>
      </c>
      <c r="G29" s="2">
        <v>-0.15129999999999999</v>
      </c>
    </row>
    <row r="30" spans="1:8" x14ac:dyDescent="0.2">
      <c r="A30" s="1" t="s">
        <v>31</v>
      </c>
      <c r="B30" s="2">
        <v>5.2774999999999999</v>
      </c>
      <c r="C30" s="2">
        <v>3.6116999999999999</v>
      </c>
      <c r="D30" s="2">
        <v>3.4876</v>
      </c>
      <c r="E30" s="2">
        <v>2.9357000000000002</v>
      </c>
      <c r="F30" s="2">
        <v>3.1147</v>
      </c>
      <c r="G30" s="2">
        <v>7.4909999999999997</v>
      </c>
    </row>
    <row r="31" spans="1:8" x14ac:dyDescent="0.2">
      <c r="A31" s="1" t="s">
        <v>32</v>
      </c>
      <c r="B31" s="2">
        <v>3.7360000000000002</v>
      </c>
      <c r="C31" s="2">
        <v>2.8246000000000002</v>
      </c>
      <c r="D31" s="2">
        <v>3.6768999999999998</v>
      </c>
      <c r="E31" s="2">
        <v>3.7699999999999997E-2</v>
      </c>
      <c r="F31" s="2">
        <v>4.0658000000000003</v>
      </c>
      <c r="G31" s="2">
        <v>3.8645</v>
      </c>
    </row>
    <row r="32" spans="1:8" x14ac:dyDescent="0.2">
      <c r="A32" s="1" t="s">
        <v>33</v>
      </c>
      <c r="B32" s="2">
        <v>-0.34549999999999997</v>
      </c>
      <c r="C32" s="2">
        <v>-0.2555</v>
      </c>
      <c r="D32" s="2">
        <v>-0.30020000000000002</v>
      </c>
      <c r="E32" s="2">
        <v>-9.6500000000000002E-2</v>
      </c>
      <c r="F32" s="2">
        <v>-7.2700000000000001E-2</v>
      </c>
      <c r="G32" s="2">
        <v>-0.73280000000000001</v>
      </c>
    </row>
    <row r="34" spans="1:8" x14ac:dyDescent="0.2">
      <c r="B34" s="2" t="s">
        <v>22</v>
      </c>
      <c r="H34" s="2"/>
    </row>
    <row r="35" spans="1:8" x14ac:dyDescent="0.2">
      <c r="B35" s="2" t="s">
        <v>12</v>
      </c>
      <c r="C35" s="2" t="s">
        <v>11</v>
      </c>
      <c r="D35" s="2" t="s">
        <v>10</v>
      </c>
      <c r="E35" s="2" t="s">
        <v>9</v>
      </c>
      <c r="F35" s="2" t="s">
        <v>8</v>
      </c>
      <c r="G35" s="2" t="s">
        <v>7</v>
      </c>
      <c r="H35" s="2"/>
    </row>
    <row r="36" spans="1:8" x14ac:dyDescent="0.2">
      <c r="A36" s="1" t="s">
        <v>26</v>
      </c>
      <c r="B36" s="2">
        <v>0.3392</v>
      </c>
      <c r="C36" s="2">
        <v>0.30930000000000002</v>
      </c>
      <c r="D36" s="2">
        <v>0.311</v>
      </c>
      <c r="E36" s="2">
        <v>0.40050000000000002</v>
      </c>
      <c r="F36" s="2">
        <v>0.14410000000000001</v>
      </c>
      <c r="G36" s="2">
        <v>9.8100000000000007E-2</v>
      </c>
    </row>
    <row r="37" spans="1:8" x14ac:dyDescent="0.2">
      <c r="A37" s="1" t="s">
        <v>30</v>
      </c>
      <c r="B37" s="2">
        <v>-0.36559999999999998</v>
      </c>
      <c r="C37" s="2">
        <v>2.3900000000000001E-2</v>
      </c>
      <c r="D37" s="2">
        <v>-0.1477</v>
      </c>
      <c r="E37" s="2">
        <v>-0.25219999999999998</v>
      </c>
      <c r="F37" s="2">
        <v>-1.7600000000000001E-2</v>
      </c>
      <c r="G37" s="2">
        <v>6.6199999999999995E-2</v>
      </c>
    </row>
    <row r="38" spans="1:8" x14ac:dyDescent="0.2">
      <c r="A38" s="1" t="s">
        <v>31</v>
      </c>
      <c r="B38" s="2">
        <v>6.2910000000000004</v>
      </c>
      <c r="C38" s="2">
        <v>4.0438000000000001</v>
      </c>
      <c r="D38" s="2">
        <v>3.3972000000000002</v>
      </c>
      <c r="E38" s="2">
        <v>3.7924000000000002</v>
      </c>
      <c r="F38" s="2">
        <v>4.2154999999999996</v>
      </c>
      <c r="G38" s="2">
        <v>4.1017000000000001</v>
      </c>
    </row>
    <row r="39" spans="1:8" x14ac:dyDescent="0.2">
      <c r="A39" s="1" t="s">
        <v>32</v>
      </c>
      <c r="B39" s="2">
        <v>5.3620000000000001</v>
      </c>
      <c r="C39" s="2">
        <v>1.9482999999999999</v>
      </c>
      <c r="D39" s="2">
        <v>3.8132999999999999</v>
      </c>
      <c r="E39" s="2">
        <v>2.0299</v>
      </c>
      <c r="F39" s="2">
        <v>2.6004</v>
      </c>
      <c r="G39" s="2">
        <v>6.7375999999999996</v>
      </c>
    </row>
    <row r="40" spans="1:8" x14ac:dyDescent="0.2">
      <c r="A40" s="1" t="s">
        <v>33</v>
      </c>
      <c r="B40" s="2">
        <v>-0.80510000000000004</v>
      </c>
      <c r="C40" s="2">
        <v>-0.36209999999999998</v>
      </c>
      <c r="D40" s="2">
        <v>-0.42120000000000002</v>
      </c>
      <c r="E40" s="2">
        <v>-0.24160000000000001</v>
      </c>
      <c r="F40" s="2">
        <v>-0.2392</v>
      </c>
      <c r="G40" s="2">
        <v>-1.0958000000000001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AFCA7-94B3-441F-BE94-3851A03E081C}">
  <dimension ref="A1:H40"/>
  <sheetViews>
    <sheetView workbookViewId="0">
      <selection activeCell="A4" sqref="A4:A8"/>
    </sheetView>
  </sheetViews>
  <sheetFormatPr defaultColWidth="9.109375" defaultRowHeight="10.199999999999999" x14ac:dyDescent="0.2"/>
  <cols>
    <col min="1" max="1" width="28.44140625" style="1" bestFit="1" customWidth="1"/>
    <col min="2" max="7" width="10.33203125" style="2" bestFit="1" customWidth="1"/>
    <col min="8" max="16384" width="9.109375" style="1"/>
  </cols>
  <sheetData>
    <row r="1" spans="1:8" x14ac:dyDescent="0.2">
      <c r="B1" s="2" t="s">
        <v>24</v>
      </c>
      <c r="H1" s="2"/>
    </row>
    <row r="2" spans="1:8" x14ac:dyDescent="0.2">
      <c r="B2" s="2" t="s">
        <v>18</v>
      </c>
      <c r="H2" s="2"/>
    </row>
    <row r="3" spans="1:8" x14ac:dyDescent="0.2">
      <c r="B3" s="2" t="s">
        <v>12</v>
      </c>
      <c r="C3" s="2" t="s">
        <v>11</v>
      </c>
      <c r="D3" s="2" t="s">
        <v>10</v>
      </c>
      <c r="E3" s="2" t="s">
        <v>9</v>
      </c>
      <c r="F3" s="2" t="s">
        <v>8</v>
      </c>
      <c r="G3" s="2" t="s">
        <v>7</v>
      </c>
      <c r="H3" s="2"/>
    </row>
    <row r="4" spans="1:8" x14ac:dyDescent="0.2">
      <c r="A4" s="1" t="s">
        <v>25</v>
      </c>
      <c r="B4" s="2">
        <v>-1.24E-2</v>
      </c>
      <c r="C4" s="2">
        <v>1.4E-3</v>
      </c>
      <c r="D4" s="2">
        <v>3.0000000000000001E-3</v>
      </c>
      <c r="E4" s="2">
        <v>-5.9999999999999995E-4</v>
      </c>
      <c r="F4" s="2">
        <v>-1.66E-2</v>
      </c>
      <c r="G4" s="2">
        <v>-3.7400000000000003E-2</v>
      </c>
    </row>
    <row r="5" spans="1:8" x14ac:dyDescent="0.2">
      <c r="A5" s="1" t="s">
        <v>3</v>
      </c>
      <c r="B5" s="2">
        <v>0.39090000000000003</v>
      </c>
      <c r="C5" s="2">
        <v>0.51900000000000002</v>
      </c>
      <c r="D5" s="2">
        <v>0.30669999999999997</v>
      </c>
      <c r="E5" s="2">
        <v>0.44640000000000002</v>
      </c>
      <c r="F5" s="2">
        <v>0.3876</v>
      </c>
      <c r="G5" s="2">
        <v>0.35970000000000002</v>
      </c>
    </row>
    <row r="6" spans="1:8" x14ac:dyDescent="0.2">
      <c r="A6" s="1" t="s">
        <v>26</v>
      </c>
      <c r="B6" s="2">
        <v>-3.3700000000000001E-2</v>
      </c>
      <c r="C6" s="2">
        <v>-3.1800000000000002E-2</v>
      </c>
      <c r="D6" s="2">
        <v>-2.2800000000000001E-2</v>
      </c>
      <c r="E6" s="2">
        <v>-3.3300000000000003E-2</v>
      </c>
      <c r="F6" s="2">
        <v>-2.3E-2</v>
      </c>
      <c r="G6" s="2">
        <v>7.4000000000000003E-3</v>
      </c>
    </row>
    <row r="7" spans="1:8" x14ac:dyDescent="0.2">
      <c r="A7" s="1" t="s">
        <v>27</v>
      </c>
      <c r="B7" s="2">
        <v>6.5799999999999997E-2</v>
      </c>
      <c r="C7" s="2">
        <v>0.2414</v>
      </c>
      <c r="D7" s="2">
        <v>0.14330000000000001</v>
      </c>
      <c r="E7" s="2">
        <v>8.0600000000000005E-2</v>
      </c>
      <c r="F7" s="2">
        <v>0.22950000000000001</v>
      </c>
      <c r="G7" s="2">
        <v>0.32379999999999998</v>
      </c>
    </row>
    <row r="8" spans="1:8" x14ac:dyDescent="0.2">
      <c r="A8" s="1" t="s">
        <v>28</v>
      </c>
      <c r="B8" s="2">
        <v>-2.4500000000000001E-2</v>
      </c>
      <c r="C8" s="2">
        <v>6.9999999999999999E-4</v>
      </c>
      <c r="D8" s="2">
        <v>-2.5499999999999998E-2</v>
      </c>
      <c r="E8" s="2">
        <v>-4.6800000000000001E-2</v>
      </c>
      <c r="F8" s="2">
        <v>-1.2200000000000001E-2</v>
      </c>
      <c r="G8" s="2">
        <v>-0.03</v>
      </c>
    </row>
    <row r="10" spans="1:8" x14ac:dyDescent="0.2">
      <c r="B10" s="2" t="s">
        <v>19</v>
      </c>
      <c r="H10" s="2"/>
    </row>
    <row r="11" spans="1:8" x14ac:dyDescent="0.2">
      <c r="B11" s="2" t="s">
        <v>12</v>
      </c>
      <c r="C11" s="2" t="s">
        <v>11</v>
      </c>
      <c r="D11" s="2" t="s">
        <v>10</v>
      </c>
      <c r="E11" s="2" t="s">
        <v>9</v>
      </c>
      <c r="F11" s="2" t="s">
        <v>8</v>
      </c>
      <c r="G11" s="2" t="s">
        <v>7</v>
      </c>
      <c r="H11" s="2"/>
    </row>
    <row r="12" spans="1:8" x14ac:dyDescent="0.2">
      <c r="A12" s="1" t="s">
        <v>25</v>
      </c>
      <c r="B12" s="2">
        <v>3.0000000000000001E-3</v>
      </c>
      <c r="C12" s="2">
        <v>3.8199999999999998E-2</v>
      </c>
      <c r="D12" s="2">
        <v>1.49E-2</v>
      </c>
      <c r="E12" s="2">
        <v>3.5499999999999997E-2</v>
      </c>
      <c r="F12" s="2">
        <v>1.01E-2</v>
      </c>
      <c r="G12" s="2">
        <v>3.15E-2</v>
      </c>
    </row>
    <row r="13" spans="1:8" x14ac:dyDescent="0.2">
      <c r="A13" s="1" t="s">
        <v>3</v>
      </c>
      <c r="B13" s="2">
        <v>0.73950000000000005</v>
      </c>
      <c r="C13" s="2">
        <v>0.77449999999999997</v>
      </c>
      <c r="D13" s="2">
        <v>0.83489999999999998</v>
      </c>
      <c r="E13" s="2">
        <v>0.76270000000000004</v>
      </c>
      <c r="F13" s="2">
        <v>0.8256</v>
      </c>
      <c r="G13" s="2">
        <v>0.61760000000000004</v>
      </c>
    </row>
    <row r="14" spans="1:8" x14ac:dyDescent="0.2">
      <c r="A14" s="1" t="s">
        <v>26</v>
      </c>
      <c r="B14" s="2">
        <v>1.4999999999999999E-2</v>
      </c>
      <c r="C14" s="2">
        <v>-3.7600000000000001E-2</v>
      </c>
      <c r="D14" s="2">
        <v>-6.6E-3</v>
      </c>
      <c r="E14" s="2">
        <v>-1.34E-2</v>
      </c>
      <c r="F14" s="2">
        <v>9.2999999999999992E-3</v>
      </c>
      <c r="G14" s="2">
        <v>-6.7000000000000002E-3</v>
      </c>
    </row>
    <row r="15" spans="1:8" x14ac:dyDescent="0.2">
      <c r="A15" s="1" t="s">
        <v>27</v>
      </c>
      <c r="B15" s="2">
        <v>0.1658</v>
      </c>
      <c r="C15" s="2">
        <v>0.29830000000000001</v>
      </c>
      <c r="D15" s="2">
        <v>0.24099999999999999</v>
      </c>
      <c r="E15" s="2">
        <v>0.29320000000000002</v>
      </c>
      <c r="F15" s="2">
        <v>0.17299999999999999</v>
      </c>
      <c r="G15" s="2">
        <v>0.2878</v>
      </c>
    </row>
    <row r="16" spans="1:8" x14ac:dyDescent="0.2">
      <c r="A16" s="1" t="s">
        <v>28</v>
      </c>
      <c r="B16" s="2">
        <v>-6.6600000000000006E-2</v>
      </c>
      <c r="C16" s="2">
        <v>-4.7500000000000001E-2</v>
      </c>
      <c r="D16" s="2">
        <v>-3.4299999999999997E-2</v>
      </c>
      <c r="E16" s="2">
        <v>-5.1400000000000001E-2</v>
      </c>
      <c r="F16" s="2">
        <v>-5.1400000000000001E-2</v>
      </c>
      <c r="G16" s="2">
        <v>-6.8999999999999999E-3</v>
      </c>
    </row>
    <row r="18" spans="1:8" x14ac:dyDescent="0.2">
      <c r="B18" s="2" t="s">
        <v>20</v>
      </c>
      <c r="H18" s="2"/>
    </row>
    <row r="19" spans="1:8" x14ac:dyDescent="0.2">
      <c r="B19" s="2" t="s">
        <v>12</v>
      </c>
      <c r="C19" s="2" t="s">
        <v>11</v>
      </c>
      <c r="D19" s="2" t="s">
        <v>10</v>
      </c>
      <c r="E19" s="2" t="s">
        <v>9</v>
      </c>
      <c r="F19" s="2" t="s">
        <v>8</v>
      </c>
      <c r="G19" s="2" t="s">
        <v>7</v>
      </c>
      <c r="H19" s="2"/>
    </row>
    <row r="20" spans="1:8" x14ac:dyDescent="0.2">
      <c r="A20" s="1" t="s">
        <v>25</v>
      </c>
      <c r="B20" s="2">
        <v>-2.9600000000000001E-2</v>
      </c>
      <c r="C20" s="2">
        <v>-2.7900000000000001E-2</v>
      </c>
      <c r="D20" s="2">
        <v>1.0200000000000001E-2</v>
      </c>
      <c r="E20" s="2">
        <v>-7.7000000000000002E-3</v>
      </c>
      <c r="F20" s="2">
        <v>-1.17E-2</v>
      </c>
      <c r="G20" s="2">
        <v>8.8000000000000005E-3</v>
      </c>
    </row>
    <row r="21" spans="1:8" x14ac:dyDescent="0.2">
      <c r="A21" s="1" t="s">
        <v>3</v>
      </c>
      <c r="B21" s="2">
        <v>0.51419999999999999</v>
      </c>
      <c r="C21" s="2">
        <v>0.54190000000000005</v>
      </c>
      <c r="D21" s="2">
        <v>0.57489999999999997</v>
      </c>
      <c r="E21" s="2">
        <v>0.40589999999999998</v>
      </c>
      <c r="F21" s="2">
        <v>0.62649999999999995</v>
      </c>
      <c r="G21" s="2">
        <v>0.37390000000000001</v>
      </c>
    </row>
    <row r="22" spans="1:8" x14ac:dyDescent="0.2">
      <c r="A22" s="1" t="s">
        <v>26</v>
      </c>
      <c r="B22" s="2">
        <v>1.21E-2</v>
      </c>
      <c r="C22" s="2">
        <v>-4.8999999999999998E-3</v>
      </c>
      <c r="D22" s="2">
        <v>-8.5000000000000006E-3</v>
      </c>
      <c r="E22" s="2">
        <v>-1.6999999999999999E-3</v>
      </c>
      <c r="F22" s="2">
        <v>-1.2500000000000001E-2</v>
      </c>
      <c r="G22" s="2">
        <v>2.4199999999999999E-2</v>
      </c>
    </row>
    <row r="23" spans="1:8" x14ac:dyDescent="0.2">
      <c r="A23" s="1" t="s">
        <v>27</v>
      </c>
      <c r="B23" s="2">
        <v>0.10440000000000001</v>
      </c>
      <c r="C23" s="2">
        <v>0.1497</v>
      </c>
      <c r="D23" s="2">
        <v>0.13830000000000001</v>
      </c>
      <c r="E23" s="2">
        <v>0.20760000000000001</v>
      </c>
      <c r="F23" s="2">
        <v>0.2316</v>
      </c>
      <c r="G23" s="2">
        <v>0.35599999999999998</v>
      </c>
    </row>
    <row r="24" spans="1:8" x14ac:dyDescent="0.2">
      <c r="A24" s="1" t="s">
        <v>28</v>
      </c>
      <c r="B24" s="2">
        <v>-3.8199999999999998E-2</v>
      </c>
      <c r="C24" s="2">
        <v>-1.6E-2</v>
      </c>
      <c r="D24" s="2">
        <v>-2.8400000000000002E-2</v>
      </c>
      <c r="E24" s="2">
        <v>-4.3999999999999997E-2</v>
      </c>
      <c r="F24" s="2">
        <v>-1.03E-2</v>
      </c>
      <c r="G24" s="2">
        <v>-0.03</v>
      </c>
    </row>
    <row r="26" spans="1:8" x14ac:dyDescent="0.2">
      <c r="B26" s="2" t="s">
        <v>21</v>
      </c>
      <c r="H26" s="2"/>
    </row>
    <row r="27" spans="1:8" x14ac:dyDescent="0.2">
      <c r="B27" s="2" t="s">
        <v>12</v>
      </c>
      <c r="C27" s="2" t="s">
        <v>11</v>
      </c>
      <c r="D27" s="2" t="s">
        <v>10</v>
      </c>
      <c r="E27" s="2" t="s">
        <v>9</v>
      </c>
      <c r="F27" s="2" t="s">
        <v>8</v>
      </c>
      <c r="G27" s="2" t="s">
        <v>7</v>
      </c>
      <c r="H27" s="2"/>
    </row>
    <row r="28" spans="1:8" x14ac:dyDescent="0.2">
      <c r="A28" s="1" t="s">
        <v>25</v>
      </c>
      <c r="B28" s="2">
        <v>1.78E-2</v>
      </c>
      <c r="C28" s="2">
        <v>-8.3999999999999995E-3</v>
      </c>
      <c r="D28" s="2">
        <v>7.0499999999999993E-2</v>
      </c>
      <c r="E28" s="2">
        <v>5.7000000000000002E-3</v>
      </c>
      <c r="F28" s="2">
        <v>4.3200000000000002E-2</v>
      </c>
      <c r="G28" s="2">
        <v>9.9000000000000008E-3</v>
      </c>
    </row>
    <row r="29" spans="1:8" x14ac:dyDescent="0.2">
      <c r="A29" s="1" t="s">
        <v>3</v>
      </c>
      <c r="B29" s="2">
        <v>0.30159999999999998</v>
      </c>
      <c r="C29" s="2">
        <v>0.3387</v>
      </c>
      <c r="D29" s="2">
        <v>0.2626</v>
      </c>
      <c r="E29" s="2">
        <v>0.23480000000000001</v>
      </c>
      <c r="F29" s="2">
        <v>0.37719999999999998</v>
      </c>
      <c r="G29" s="2">
        <v>0.29809999999999998</v>
      </c>
    </row>
    <row r="30" spans="1:8" x14ac:dyDescent="0.2">
      <c r="A30" s="1" t="s">
        <v>26</v>
      </c>
      <c r="B30" s="2">
        <v>-1.0999999999999999E-2</v>
      </c>
      <c r="C30" s="2">
        <v>1.8E-3</v>
      </c>
      <c r="D30" s="2">
        <v>2.0000000000000001E-4</v>
      </c>
      <c r="E30" s="2">
        <v>5.9999999999999995E-4</v>
      </c>
      <c r="F30" s="2">
        <v>-8.9999999999999993E-3</v>
      </c>
      <c r="G30" s="2">
        <v>1.38E-2</v>
      </c>
    </row>
    <row r="31" spans="1:8" x14ac:dyDescent="0.2">
      <c r="A31" s="1" t="s">
        <v>27</v>
      </c>
      <c r="B31" s="2">
        <v>0.24890000000000001</v>
      </c>
      <c r="C31" s="2">
        <v>0.19939999999999999</v>
      </c>
      <c r="D31" s="2">
        <v>0.20100000000000001</v>
      </c>
      <c r="E31" s="2">
        <v>0.33939999999999998</v>
      </c>
      <c r="F31" s="2">
        <v>0.22189999999999999</v>
      </c>
      <c r="G31" s="2">
        <v>0.36549999999999999</v>
      </c>
    </row>
    <row r="32" spans="1:8" x14ac:dyDescent="0.2">
      <c r="A32" s="1" t="s">
        <v>28</v>
      </c>
      <c r="B32" s="2">
        <v>-3.6200000000000003E-2</v>
      </c>
      <c r="C32" s="2">
        <v>-2.5000000000000001E-2</v>
      </c>
      <c r="D32" s="2">
        <v>-1.11E-2</v>
      </c>
      <c r="E32" s="2">
        <v>-1.5100000000000001E-2</v>
      </c>
      <c r="F32" s="2">
        <v>-1.8100000000000002E-2</v>
      </c>
      <c r="G32" s="2">
        <v>1.06E-2</v>
      </c>
    </row>
    <row r="34" spans="1:8" x14ac:dyDescent="0.2">
      <c r="B34" s="2" t="s">
        <v>22</v>
      </c>
      <c r="H34" s="2"/>
    </row>
    <row r="35" spans="1:8" x14ac:dyDescent="0.2">
      <c r="B35" s="2" t="s">
        <v>12</v>
      </c>
      <c r="C35" s="2" t="s">
        <v>11</v>
      </c>
      <c r="D35" s="2" t="s">
        <v>10</v>
      </c>
      <c r="E35" s="2" t="s">
        <v>9</v>
      </c>
      <c r="F35" s="2" t="s">
        <v>8</v>
      </c>
      <c r="G35" s="2" t="s">
        <v>7</v>
      </c>
      <c r="H35" s="2"/>
    </row>
    <row r="36" spans="1:8" x14ac:dyDescent="0.2">
      <c r="A36" s="1" t="s">
        <v>4</v>
      </c>
      <c r="B36" s="2">
        <v>-1.24E-2</v>
      </c>
      <c r="C36" s="2">
        <v>-1.4999999999999999E-2</v>
      </c>
      <c r="D36" s="2">
        <v>4.1000000000000003E-3</v>
      </c>
      <c r="E36" s="2">
        <v>3.3E-3</v>
      </c>
      <c r="F36" s="2">
        <v>-3.2399999999999998E-2</v>
      </c>
      <c r="G36" s="2">
        <v>-6.6900000000000001E-2</v>
      </c>
    </row>
    <row r="37" spans="1:8" x14ac:dyDescent="0.2">
      <c r="A37" s="1" t="s">
        <v>3</v>
      </c>
      <c r="B37" s="2">
        <v>1.2200000000000001E-2</v>
      </c>
      <c r="C37" s="2">
        <v>0.1333</v>
      </c>
      <c r="D37" s="2">
        <v>0.2044</v>
      </c>
      <c r="E37" s="2">
        <v>6.6400000000000001E-2</v>
      </c>
      <c r="F37" s="2">
        <v>9.2200000000000004E-2</v>
      </c>
      <c r="G37" s="2">
        <v>0.25800000000000001</v>
      </c>
    </row>
    <row r="38" spans="1:8" x14ac:dyDescent="0.2">
      <c r="A38" s="1" t="s">
        <v>2</v>
      </c>
      <c r="B38" s="2">
        <v>3.1E-2</v>
      </c>
      <c r="C38" s="2">
        <v>-7.4000000000000003E-3</v>
      </c>
      <c r="D38" s="2">
        <v>9.4999999999999998E-3</v>
      </c>
      <c r="E38" s="2">
        <v>1.29E-2</v>
      </c>
      <c r="F38" s="2">
        <v>3.2099999999999997E-2</v>
      </c>
      <c r="G38" s="2">
        <v>1.0800000000000001E-2</v>
      </c>
    </row>
    <row r="39" spans="1:8" x14ac:dyDescent="0.2">
      <c r="A39" s="1" t="s">
        <v>1</v>
      </c>
      <c r="B39" s="2">
        <v>0.19089999999999999</v>
      </c>
      <c r="C39" s="2">
        <v>0.31969999999999998</v>
      </c>
      <c r="D39" s="2">
        <v>0.25459999999999999</v>
      </c>
      <c r="E39" s="2">
        <v>0.22040000000000001</v>
      </c>
      <c r="F39" s="2">
        <v>0.30180000000000001</v>
      </c>
      <c r="G39" s="2">
        <v>0.36930000000000002</v>
      </c>
    </row>
    <row r="40" spans="1:8" x14ac:dyDescent="0.2">
      <c r="A40" s="1" t="s">
        <v>0</v>
      </c>
      <c r="B40" s="2">
        <v>-2.3800000000000002E-2</v>
      </c>
      <c r="C40" s="2">
        <v>-6.0000000000000001E-3</v>
      </c>
      <c r="D40" s="2">
        <v>1.1000000000000001E-3</v>
      </c>
      <c r="E40" s="2">
        <v>-2.8299999999999999E-2</v>
      </c>
      <c r="F40" s="2">
        <v>-2.2700000000000001E-2</v>
      </c>
      <c r="G40" s="2">
        <v>-8.3999999999999995E-3</v>
      </c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F9EC3-C57D-42C1-B225-026A8A8CC6A1}">
  <dimension ref="A1:H40"/>
  <sheetViews>
    <sheetView workbookViewId="0"/>
  </sheetViews>
  <sheetFormatPr defaultColWidth="9.109375" defaultRowHeight="10.199999999999999" x14ac:dyDescent="0.2"/>
  <cols>
    <col min="1" max="1" width="21" style="1" bestFit="1" customWidth="1"/>
    <col min="2" max="7" width="10.33203125" style="2" bestFit="1" customWidth="1"/>
    <col min="8" max="16384" width="9.109375" style="1"/>
  </cols>
  <sheetData>
    <row r="1" spans="1:8" x14ac:dyDescent="0.2">
      <c r="B1" s="2" t="s">
        <v>5</v>
      </c>
      <c r="H1" s="2"/>
    </row>
    <row r="2" spans="1:8" x14ac:dyDescent="0.2">
      <c r="B2" s="2" t="s">
        <v>18</v>
      </c>
      <c r="H2" s="2"/>
    </row>
    <row r="3" spans="1:8" x14ac:dyDescent="0.2">
      <c r="B3" s="2" t="s">
        <v>12</v>
      </c>
      <c r="C3" s="2" t="s">
        <v>11</v>
      </c>
      <c r="D3" s="2" t="s">
        <v>10</v>
      </c>
      <c r="E3" s="2" t="s">
        <v>9</v>
      </c>
      <c r="F3" s="2" t="s">
        <v>8</v>
      </c>
      <c r="G3" s="2" t="s">
        <v>7</v>
      </c>
      <c r="H3" s="2"/>
    </row>
    <row r="4" spans="1:8" x14ac:dyDescent="0.2">
      <c r="A4" s="1" t="s">
        <v>4</v>
      </c>
      <c r="B4" s="2">
        <v>-3.1699999999999999E-2</v>
      </c>
      <c r="C4" s="2">
        <v>-3.39E-2</v>
      </c>
      <c r="D4" s="2">
        <v>-7.7999999999999996E-3</v>
      </c>
      <c r="E4" s="2">
        <v>6.1000000000000004E-3</v>
      </c>
      <c r="F4" s="2">
        <v>-5.9400000000000001E-2</v>
      </c>
      <c r="G4" s="2">
        <v>1.2999999999999999E-3</v>
      </c>
    </row>
    <row r="5" spans="1:8" x14ac:dyDescent="0.2">
      <c r="A5" s="1" t="s">
        <v>3</v>
      </c>
      <c r="B5" s="2">
        <v>6.2600000000000003E-2</v>
      </c>
      <c r="C5" s="2">
        <v>0.27</v>
      </c>
      <c r="D5" s="2">
        <v>0.17560000000000001</v>
      </c>
      <c r="E5" s="2">
        <v>8.0999999999999996E-3</v>
      </c>
      <c r="F5" s="2">
        <v>0.21510000000000001</v>
      </c>
      <c r="G5" s="2">
        <v>0.3841</v>
      </c>
    </row>
    <row r="6" spans="1:8" x14ac:dyDescent="0.2">
      <c r="A6" s="1" t="s">
        <v>2</v>
      </c>
      <c r="B6" s="2">
        <v>-4.9200000000000001E-2</v>
      </c>
      <c r="C6" s="2">
        <v>-8.2000000000000003E-2</v>
      </c>
      <c r="D6" s="2">
        <v>-4.3099999999999999E-2</v>
      </c>
      <c r="E6" s="2">
        <v>-3.7199999999999997E-2</v>
      </c>
      <c r="F6" s="2">
        <v>-5.9499999999999997E-2</v>
      </c>
      <c r="G6" s="2">
        <v>-3.9899999999999998E-2</v>
      </c>
    </row>
    <row r="7" spans="1:8" x14ac:dyDescent="0.2">
      <c r="A7" s="1" t="s">
        <v>1</v>
      </c>
      <c r="B7" s="2">
        <v>-7.4200000000000002E-2</v>
      </c>
      <c r="C7" s="2">
        <v>0.27210000000000001</v>
      </c>
      <c r="D7" s="2">
        <v>0.13719999999999999</v>
      </c>
      <c r="E7" s="2">
        <v>7.6100000000000001E-2</v>
      </c>
      <c r="F7" s="2">
        <v>0.32919999999999999</v>
      </c>
      <c r="G7" s="2">
        <v>0.41460000000000002</v>
      </c>
    </row>
    <row r="8" spans="1:8" x14ac:dyDescent="0.2">
      <c r="A8" s="1" t="s">
        <v>0</v>
      </c>
      <c r="B8" s="2">
        <v>5.0000000000000001E-4</v>
      </c>
      <c r="C8" s="2">
        <v>2.5999999999999999E-3</v>
      </c>
      <c r="D8" s="2">
        <v>2.0999999999999999E-3</v>
      </c>
      <c r="E8" s="2">
        <v>1.9E-3</v>
      </c>
      <c r="F8" s="2">
        <v>-2.9999999999999997E-4</v>
      </c>
      <c r="G8" s="2">
        <v>1.4E-3</v>
      </c>
    </row>
    <row r="10" spans="1:8" x14ac:dyDescent="0.2">
      <c r="B10" s="2" t="s">
        <v>19</v>
      </c>
      <c r="H10" s="2"/>
    </row>
    <row r="11" spans="1:8" x14ac:dyDescent="0.2">
      <c r="B11" s="2" t="s">
        <v>12</v>
      </c>
      <c r="C11" s="2" t="s">
        <v>11</v>
      </c>
      <c r="D11" s="2" t="s">
        <v>10</v>
      </c>
      <c r="E11" s="2" t="s">
        <v>9</v>
      </c>
      <c r="F11" s="2" t="s">
        <v>8</v>
      </c>
      <c r="G11" s="2" t="s">
        <v>7</v>
      </c>
      <c r="H11" s="2"/>
    </row>
    <row r="12" spans="1:8" x14ac:dyDescent="0.2">
      <c r="A12" s="1" t="s">
        <v>4</v>
      </c>
      <c r="B12" s="2">
        <v>-5.4899999999999997E-2</v>
      </c>
      <c r="C12" s="2">
        <v>-2.8400000000000002E-2</v>
      </c>
      <c r="D12" s="2">
        <v>-0.16619999999999999</v>
      </c>
      <c r="E12" s="2">
        <v>-9.5100000000000004E-2</v>
      </c>
      <c r="F12" s="2">
        <v>-5.1400000000000001E-2</v>
      </c>
      <c r="G12" s="2">
        <v>-7.8100000000000003E-2</v>
      </c>
    </row>
    <row r="13" spans="1:8" x14ac:dyDescent="0.2">
      <c r="A13" s="1" t="s">
        <v>3</v>
      </c>
      <c r="B13" s="2">
        <v>0.37009999999999998</v>
      </c>
      <c r="C13" s="2">
        <v>0.3679</v>
      </c>
      <c r="D13" s="2">
        <v>0.49990000000000001</v>
      </c>
      <c r="E13" s="2">
        <v>0.43559999999999999</v>
      </c>
      <c r="F13" s="2">
        <v>0.61219999999999997</v>
      </c>
      <c r="G13" s="2">
        <v>0.41289999999999999</v>
      </c>
    </row>
    <row r="14" spans="1:8" x14ac:dyDescent="0.2">
      <c r="A14" s="1" t="s">
        <v>2</v>
      </c>
      <c r="B14" s="2">
        <v>-4.87E-2</v>
      </c>
      <c r="C14" s="2">
        <v>-3.0499999999999999E-2</v>
      </c>
      <c r="D14" s="2">
        <v>-0.14180000000000001</v>
      </c>
      <c r="E14" s="2">
        <v>-5.5399999999999998E-2</v>
      </c>
      <c r="F14" s="2">
        <v>-5.9900000000000002E-2</v>
      </c>
      <c r="G14" s="2">
        <v>-5.57E-2</v>
      </c>
    </row>
    <row r="15" spans="1:8" x14ac:dyDescent="0.2">
      <c r="A15" s="1" t="s">
        <v>1</v>
      </c>
      <c r="B15" s="2">
        <v>0.23250000000000001</v>
      </c>
      <c r="C15" s="2">
        <v>0.12820000000000001</v>
      </c>
      <c r="D15" s="2">
        <v>-6.0600000000000001E-2</v>
      </c>
      <c r="E15" s="2">
        <v>0.42159999999999997</v>
      </c>
      <c r="F15" s="2">
        <v>0.24210000000000001</v>
      </c>
      <c r="G15" s="2">
        <v>0.44629999999999997</v>
      </c>
    </row>
    <row r="16" spans="1:8" x14ac:dyDescent="0.2">
      <c r="A16" s="1" t="s">
        <v>0</v>
      </c>
      <c r="B16" s="2">
        <v>1.9E-3</v>
      </c>
      <c r="C16" s="2">
        <v>2.8999999999999998E-3</v>
      </c>
      <c r="D16" s="2">
        <v>1E-3</v>
      </c>
      <c r="E16" s="2">
        <v>3.5000000000000001E-3</v>
      </c>
      <c r="F16" s="2">
        <v>2.7000000000000001E-3</v>
      </c>
      <c r="G16" s="2">
        <v>8.9999999999999998E-4</v>
      </c>
    </row>
    <row r="18" spans="1:8" x14ac:dyDescent="0.2">
      <c r="B18" s="2" t="s">
        <v>20</v>
      </c>
      <c r="H18" s="2"/>
    </row>
    <row r="19" spans="1:8" x14ac:dyDescent="0.2">
      <c r="B19" s="2" t="s">
        <v>12</v>
      </c>
      <c r="C19" s="2" t="s">
        <v>11</v>
      </c>
      <c r="D19" s="2" t="s">
        <v>10</v>
      </c>
      <c r="E19" s="2" t="s">
        <v>9</v>
      </c>
      <c r="F19" s="2" t="s">
        <v>8</v>
      </c>
      <c r="G19" s="2" t="s">
        <v>7</v>
      </c>
      <c r="H19" s="2"/>
    </row>
    <row r="20" spans="1:8" x14ac:dyDescent="0.2">
      <c r="A20" s="1" t="s">
        <v>4</v>
      </c>
      <c r="B20" s="2">
        <v>-7.3300000000000004E-2</v>
      </c>
      <c r="C20" s="2">
        <v>-4.7999999999999996E-3</v>
      </c>
      <c r="D20" s="2">
        <v>-7.7600000000000002E-2</v>
      </c>
      <c r="E20" s="2">
        <v>-7.1599999999999997E-2</v>
      </c>
      <c r="F20" s="2">
        <v>-4.0399999999999998E-2</v>
      </c>
      <c r="G20" s="2">
        <v>3.8300000000000001E-2</v>
      </c>
    </row>
    <row r="21" spans="1:8" x14ac:dyDescent="0.2">
      <c r="A21" s="1" t="s">
        <v>3</v>
      </c>
      <c r="B21" s="2">
        <v>0.19059999999999999</v>
      </c>
      <c r="C21" s="2">
        <v>0.14149999999999999</v>
      </c>
      <c r="D21" s="2">
        <v>0.3624</v>
      </c>
      <c r="E21" s="2">
        <v>0.1615</v>
      </c>
      <c r="F21" s="2">
        <v>0.24179999999999999</v>
      </c>
      <c r="G21" s="2">
        <v>9.2299999999999993E-2</v>
      </c>
    </row>
    <row r="22" spans="1:8" x14ac:dyDescent="0.2">
      <c r="A22" s="1" t="s">
        <v>2</v>
      </c>
      <c r="B22" s="2">
        <v>-2.7099999999999999E-2</v>
      </c>
      <c r="C22" s="2">
        <v>-4.7000000000000002E-3</v>
      </c>
      <c r="D22" s="2">
        <v>-0.1038</v>
      </c>
      <c r="E22" s="2">
        <v>-2.9899999999999999E-2</v>
      </c>
      <c r="F22" s="2">
        <v>-2.01E-2</v>
      </c>
      <c r="G22" s="2">
        <v>1.2800000000000001E-2</v>
      </c>
    </row>
    <row r="23" spans="1:8" x14ac:dyDescent="0.2">
      <c r="A23" s="1" t="s">
        <v>1</v>
      </c>
      <c r="B23" s="2">
        <v>-0.10829999999999999</v>
      </c>
      <c r="C23" s="2">
        <v>-0.2203</v>
      </c>
      <c r="D23" s="2">
        <v>0.2361</v>
      </c>
      <c r="E23" s="2">
        <v>0.4551</v>
      </c>
      <c r="F23" s="2">
        <v>0.51300000000000001</v>
      </c>
      <c r="G23" s="2">
        <v>0.69089999999999996</v>
      </c>
    </row>
    <row r="24" spans="1:8" x14ac:dyDescent="0.2">
      <c r="A24" s="1" t="s">
        <v>0</v>
      </c>
      <c r="B24" s="2">
        <v>-5.0000000000000001E-4</v>
      </c>
      <c r="C24" s="2">
        <v>2.2000000000000001E-3</v>
      </c>
      <c r="D24" s="2">
        <v>2.8999999999999998E-3</v>
      </c>
      <c r="E24" s="2">
        <v>3.5000000000000001E-3</v>
      </c>
      <c r="F24" s="2">
        <v>3.3E-3</v>
      </c>
      <c r="G24" s="2">
        <v>3.0000000000000001E-3</v>
      </c>
    </row>
    <row r="26" spans="1:8" x14ac:dyDescent="0.2">
      <c r="B26" s="2" t="s">
        <v>21</v>
      </c>
      <c r="H26" s="2"/>
    </row>
    <row r="27" spans="1:8" x14ac:dyDescent="0.2">
      <c r="B27" s="2" t="s">
        <v>12</v>
      </c>
      <c r="C27" s="2" t="s">
        <v>11</v>
      </c>
      <c r="D27" s="2" t="s">
        <v>10</v>
      </c>
      <c r="E27" s="2" t="s">
        <v>9</v>
      </c>
      <c r="F27" s="2" t="s">
        <v>8</v>
      </c>
      <c r="G27" s="2" t="s">
        <v>7</v>
      </c>
      <c r="H27" s="2"/>
    </row>
    <row r="28" spans="1:8" x14ac:dyDescent="0.2">
      <c r="A28" s="1" t="s">
        <v>4</v>
      </c>
      <c r="B28" s="2">
        <v>-2.58E-2</v>
      </c>
      <c r="C28" s="2">
        <v>-2.24E-2</v>
      </c>
      <c r="D28" s="2">
        <v>-0.15509999999999999</v>
      </c>
      <c r="E28" s="2">
        <v>-4.87E-2</v>
      </c>
      <c r="F28" s="2">
        <v>-8.9899999999999994E-2</v>
      </c>
      <c r="G28" s="2">
        <v>-0.1452</v>
      </c>
    </row>
    <row r="29" spans="1:8" x14ac:dyDescent="0.2">
      <c r="A29" s="1" t="s">
        <v>3</v>
      </c>
      <c r="B29" s="2">
        <v>5.4600000000000003E-2</v>
      </c>
      <c r="C29" s="2">
        <v>6.8099999999999994E-2</v>
      </c>
      <c r="D29" s="2">
        <v>0.25940000000000002</v>
      </c>
      <c r="E29" s="2">
        <v>8.3099999999999993E-2</v>
      </c>
      <c r="F29" s="2">
        <v>0.1532</v>
      </c>
      <c r="G29" s="2">
        <v>0.1842</v>
      </c>
    </row>
    <row r="30" spans="1:8" x14ac:dyDescent="0.2">
      <c r="A30" s="1" t="s">
        <v>2</v>
      </c>
      <c r="B30" s="2">
        <v>-1.6400000000000001E-2</v>
      </c>
      <c r="C30" s="2">
        <v>-1.9E-2</v>
      </c>
      <c r="D30" s="2">
        <v>-8.5000000000000006E-2</v>
      </c>
      <c r="E30" s="2">
        <v>-2.5499999999999998E-2</v>
      </c>
      <c r="F30" s="2">
        <v>-5.62E-2</v>
      </c>
      <c r="G30" s="2">
        <v>-2.24E-2</v>
      </c>
    </row>
    <row r="31" spans="1:8" x14ac:dyDescent="0.2">
      <c r="A31" s="1" t="s">
        <v>1</v>
      </c>
      <c r="B31" s="2">
        <v>7.6499999999999999E-2</v>
      </c>
      <c r="C31" s="2">
        <v>-0.13880000000000001</v>
      </c>
      <c r="D31" s="2">
        <v>0.24049999999999999</v>
      </c>
      <c r="E31" s="2">
        <v>0.23949999999999999</v>
      </c>
      <c r="F31" s="2">
        <v>0.30359999999999998</v>
      </c>
      <c r="G31" s="2">
        <v>0.62980000000000003</v>
      </c>
    </row>
    <row r="32" spans="1:8" x14ac:dyDescent="0.2">
      <c r="A32" s="1" t="s">
        <v>0</v>
      </c>
      <c r="B32" s="2">
        <v>8.0000000000000004E-4</v>
      </c>
      <c r="C32" s="2">
        <v>1.6000000000000001E-3</v>
      </c>
      <c r="D32" s="2">
        <v>1.8E-3</v>
      </c>
      <c r="E32" s="2">
        <v>2.3E-3</v>
      </c>
      <c r="F32" s="2">
        <v>2.7000000000000001E-3</v>
      </c>
      <c r="G32" s="2">
        <v>2.2000000000000001E-3</v>
      </c>
    </row>
    <row r="34" spans="1:8" x14ac:dyDescent="0.2">
      <c r="B34" s="2" t="s">
        <v>22</v>
      </c>
      <c r="H34" s="2"/>
    </row>
    <row r="35" spans="1:8" x14ac:dyDescent="0.2">
      <c r="B35" s="2" t="s">
        <v>12</v>
      </c>
      <c r="C35" s="2" t="s">
        <v>11</v>
      </c>
      <c r="D35" s="2" t="s">
        <v>10</v>
      </c>
      <c r="E35" s="2" t="s">
        <v>9</v>
      </c>
      <c r="F35" s="2" t="s">
        <v>8</v>
      </c>
      <c r="G35" s="2" t="s">
        <v>7</v>
      </c>
      <c r="H35" s="2"/>
    </row>
    <row r="36" spans="1:8" x14ac:dyDescent="0.2">
      <c r="A36" s="1" t="s">
        <v>4</v>
      </c>
      <c r="B36" s="2">
        <v>-9.0999999999999998E-2</v>
      </c>
      <c r="C36" s="2">
        <v>-1.06E-2</v>
      </c>
      <c r="D36" s="2">
        <v>-7.1499999999999994E-2</v>
      </c>
      <c r="E36" s="2">
        <v>-3.3700000000000001E-2</v>
      </c>
      <c r="F36" s="2">
        <v>-8.7499999999999994E-2</v>
      </c>
      <c r="G36" s="2">
        <v>-4.2000000000000003E-2</v>
      </c>
    </row>
    <row r="37" spans="1:8" x14ac:dyDescent="0.2">
      <c r="A37" s="1" t="s">
        <v>3</v>
      </c>
      <c r="B37" s="2">
        <v>0.1045</v>
      </c>
      <c r="C37" s="2">
        <v>0.19009999999999999</v>
      </c>
      <c r="D37" s="2">
        <v>0.28560000000000002</v>
      </c>
      <c r="E37" s="2">
        <v>0.19850000000000001</v>
      </c>
      <c r="F37" s="2">
        <v>0.33300000000000002</v>
      </c>
      <c r="G37" s="2">
        <v>0.46700000000000003</v>
      </c>
    </row>
    <row r="38" spans="1:8" x14ac:dyDescent="0.2">
      <c r="A38" s="1" t="s">
        <v>2</v>
      </c>
      <c r="B38" s="2">
        <v>-4.1799999999999997E-2</v>
      </c>
      <c r="C38" s="2">
        <v>-4.6100000000000002E-2</v>
      </c>
      <c r="D38" s="2">
        <v>-7.9699999999999993E-2</v>
      </c>
      <c r="E38" s="2">
        <v>-6.4199999999999993E-2</v>
      </c>
      <c r="F38" s="2">
        <v>-5.3600000000000002E-2</v>
      </c>
      <c r="G38" s="2">
        <v>-5.04E-2</v>
      </c>
    </row>
    <row r="39" spans="1:8" x14ac:dyDescent="0.2">
      <c r="A39" s="1" t="s">
        <v>1</v>
      </c>
      <c r="B39" s="2">
        <v>0.21629999999999999</v>
      </c>
      <c r="C39" s="2">
        <v>0.30559999999999998</v>
      </c>
      <c r="D39" s="2">
        <v>0.61829999999999996</v>
      </c>
      <c r="E39" s="2">
        <v>0.60980000000000001</v>
      </c>
      <c r="F39" s="2">
        <v>0.4758</v>
      </c>
      <c r="G39" s="2">
        <v>0.37180000000000002</v>
      </c>
    </row>
    <row r="40" spans="1:8" x14ac:dyDescent="0.2">
      <c r="A40" s="1" t="s">
        <v>0</v>
      </c>
      <c r="B40" s="2">
        <v>6.9999999999999999E-4</v>
      </c>
      <c r="C40" s="2">
        <v>2.0999999999999999E-3</v>
      </c>
      <c r="D40" s="2">
        <v>3.2000000000000002E-3</v>
      </c>
      <c r="E40" s="2">
        <v>4.0000000000000001E-3</v>
      </c>
      <c r="F40" s="2">
        <v>8.9999999999999998E-4</v>
      </c>
      <c r="G40" s="2">
        <v>1.9E-3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B7241-E05D-4C2F-84EF-35C04B591D5F}">
  <dimension ref="A1:X12"/>
  <sheetViews>
    <sheetView workbookViewId="0"/>
  </sheetViews>
  <sheetFormatPr defaultColWidth="9.109375" defaultRowHeight="10.199999999999999" x14ac:dyDescent="0.2"/>
  <cols>
    <col min="1" max="1" width="7.44140625" style="1" bestFit="1" customWidth="1"/>
    <col min="2" max="16384" width="9.109375" style="1"/>
  </cols>
  <sheetData>
    <row r="1" spans="1:24" x14ac:dyDescent="0.2">
      <c r="A1" s="1" t="s">
        <v>6</v>
      </c>
      <c r="B1" s="1">
        <v>2000</v>
      </c>
      <c r="C1" s="1">
        <v>2001</v>
      </c>
      <c r="D1" s="1">
        <v>2002</v>
      </c>
      <c r="E1" s="1">
        <v>2003</v>
      </c>
      <c r="F1" s="1">
        <v>2004</v>
      </c>
      <c r="G1" s="1">
        <v>2005</v>
      </c>
      <c r="H1" s="1">
        <v>2006</v>
      </c>
      <c r="I1" s="1">
        <v>2007</v>
      </c>
      <c r="J1" s="1">
        <v>2008</v>
      </c>
      <c r="K1" s="1">
        <v>2009</v>
      </c>
      <c r="L1" s="1">
        <v>2010</v>
      </c>
      <c r="M1" s="1">
        <v>2011</v>
      </c>
      <c r="N1" s="1">
        <v>2012</v>
      </c>
      <c r="O1" s="1">
        <v>2013</v>
      </c>
      <c r="P1" s="1">
        <v>2014</v>
      </c>
      <c r="Q1" s="1">
        <v>2015</v>
      </c>
      <c r="R1" s="1">
        <v>2016</v>
      </c>
      <c r="S1" s="1">
        <v>2017</v>
      </c>
      <c r="T1" s="1">
        <v>2018</v>
      </c>
      <c r="U1" s="1">
        <v>2019</v>
      </c>
      <c r="V1" s="1">
        <v>2020</v>
      </c>
      <c r="W1" s="1">
        <v>2021</v>
      </c>
      <c r="X1" s="1">
        <v>2022</v>
      </c>
    </row>
    <row r="2" spans="1:24" x14ac:dyDescent="0.2">
      <c r="A2" s="1" t="s">
        <v>17</v>
      </c>
      <c r="B2" s="2">
        <v>0.51229624067934998</v>
      </c>
      <c r="C2" s="2">
        <v>0.50620815607711267</v>
      </c>
      <c r="D2" s="2">
        <v>0.50011987127487534</v>
      </c>
      <c r="E2" s="2">
        <v>0.49403178667263797</v>
      </c>
      <c r="F2" s="2">
        <v>0.48794370207040083</v>
      </c>
      <c r="G2" s="2">
        <v>0.48185541746816363</v>
      </c>
      <c r="H2" s="2">
        <v>0.48185541746816363</v>
      </c>
      <c r="I2" s="2">
        <v>0.48185541746816363</v>
      </c>
      <c r="J2" s="2">
        <v>0.48220958083960513</v>
      </c>
      <c r="K2" s="2">
        <v>0.48229926353698216</v>
      </c>
      <c r="L2" s="2">
        <v>0.48143853857719732</v>
      </c>
      <c r="M2" s="2">
        <v>0.48160878706932914</v>
      </c>
      <c r="N2" s="2">
        <v>0.48118735627748899</v>
      </c>
      <c r="O2" s="2">
        <v>0.48186342245282338</v>
      </c>
      <c r="P2" s="2">
        <v>0.4796341084211192</v>
      </c>
      <c r="Q2" s="2">
        <v>0.47840659993912815</v>
      </c>
      <c r="R2" s="2">
        <v>0.47975711031429924</v>
      </c>
      <c r="S2" s="2">
        <v>0.47947557878276781</v>
      </c>
      <c r="T2" s="2">
        <v>0.47919404725123621</v>
      </c>
      <c r="U2" s="2">
        <v>0.47956540824347077</v>
      </c>
      <c r="V2" s="2">
        <v>0.47993676943570518</v>
      </c>
      <c r="W2" s="2">
        <v>0.48151520082556065</v>
      </c>
      <c r="X2" s="2">
        <v>0.47968560290166085</v>
      </c>
    </row>
    <row r="3" spans="1:24" x14ac:dyDescent="0.2">
      <c r="A3" s="1" t="s">
        <v>16</v>
      </c>
      <c r="B3" s="2">
        <v>0.45945808090560697</v>
      </c>
      <c r="C3" s="2">
        <v>0.45937330709557855</v>
      </c>
      <c r="D3" s="2">
        <v>0.46010657939905714</v>
      </c>
      <c r="E3" s="2">
        <v>0.45885746577706144</v>
      </c>
      <c r="F3" s="2">
        <v>0.45479550049297518</v>
      </c>
      <c r="G3" s="2">
        <v>0.45255952710783454</v>
      </c>
      <c r="H3" s="2">
        <v>0.45019901505189486</v>
      </c>
      <c r="I3" s="2">
        <v>0.44784346690701221</v>
      </c>
      <c r="J3" s="2">
        <v>0.44566080966991695</v>
      </c>
      <c r="K3" s="2">
        <v>0.44768653667359626</v>
      </c>
      <c r="L3" s="2">
        <v>0.44276866587569386</v>
      </c>
      <c r="M3" s="2">
        <v>0.43878232698309205</v>
      </c>
      <c r="N3" s="2">
        <v>0.4371869041409604</v>
      </c>
      <c r="O3" s="2">
        <v>0.43527625210059923</v>
      </c>
      <c r="P3" s="2">
        <v>0.4334205631666192</v>
      </c>
      <c r="Q3" s="2">
        <v>0.44264569815352284</v>
      </c>
      <c r="R3" s="2">
        <v>0.43875176210310574</v>
      </c>
      <c r="S3" s="2">
        <v>0.43494315318452159</v>
      </c>
      <c r="T3" s="2">
        <v>0.43306514653559702</v>
      </c>
      <c r="U3" s="2">
        <v>0.43297851470295018</v>
      </c>
      <c r="V3" s="2">
        <v>0.43488400452454179</v>
      </c>
      <c r="W3" s="2">
        <v>0.43181049957841938</v>
      </c>
      <c r="X3" s="2">
        <v>0.4353124177436597</v>
      </c>
    </row>
    <row r="4" spans="1:24" x14ac:dyDescent="0.2">
      <c r="A4" s="1" t="s">
        <v>15</v>
      </c>
      <c r="B4" s="2">
        <v>0.49663431344765047</v>
      </c>
      <c r="C4" s="2">
        <v>0.49573982362136065</v>
      </c>
      <c r="D4" s="2">
        <v>0.49352417667896675</v>
      </c>
      <c r="E4" s="2">
        <v>0.49598009440668378</v>
      </c>
      <c r="F4" s="2">
        <v>0.49368799464732982</v>
      </c>
      <c r="G4" s="2">
        <v>0.49862626909605784</v>
      </c>
      <c r="H4" s="2">
        <v>0.4876185040148302</v>
      </c>
      <c r="I4" s="2">
        <v>0.48595209918985721</v>
      </c>
      <c r="J4" s="2">
        <v>0.48460164306338605</v>
      </c>
      <c r="K4" s="2">
        <v>0.48034653001980987</v>
      </c>
      <c r="L4" s="2">
        <v>0.47660042383093382</v>
      </c>
      <c r="M4" s="2">
        <v>0.47301943362152343</v>
      </c>
      <c r="N4" s="2">
        <v>0.46888001415781727</v>
      </c>
      <c r="O4" s="2">
        <v>0.46035707280040239</v>
      </c>
      <c r="P4" s="2">
        <v>0.44905447003058258</v>
      </c>
      <c r="Q4" s="2">
        <v>0.44365311555466114</v>
      </c>
      <c r="R4" s="2">
        <v>0.4410150813605056</v>
      </c>
      <c r="S4" s="2">
        <v>0.43422030220404001</v>
      </c>
      <c r="T4" s="2">
        <v>0.42968548982144839</v>
      </c>
      <c r="U4" s="2">
        <v>0.42945240115003519</v>
      </c>
      <c r="V4" s="2">
        <v>0.42863947174550476</v>
      </c>
      <c r="W4" s="2">
        <v>0.42863947174550476</v>
      </c>
      <c r="X4" s="2">
        <v>0.43554497545153537</v>
      </c>
    </row>
    <row r="5" spans="1:24" x14ac:dyDescent="0.2">
      <c r="A5" s="1" t="s">
        <v>14</v>
      </c>
      <c r="B5" s="2">
        <v>0.16423436087682902</v>
      </c>
      <c r="C5" s="2">
        <v>0.16368951773587731</v>
      </c>
      <c r="D5" s="2">
        <v>0.15745269750967097</v>
      </c>
      <c r="E5" s="2">
        <v>0.15540068817675207</v>
      </c>
      <c r="F5" s="2">
        <v>0.15645120392978512</v>
      </c>
      <c r="G5" s="2">
        <v>0.15461943392555524</v>
      </c>
      <c r="H5" s="2">
        <v>0.15447824441491093</v>
      </c>
      <c r="I5" s="2">
        <v>0.15382009153809378</v>
      </c>
      <c r="J5" s="2">
        <v>0.15382671513122487</v>
      </c>
      <c r="K5" s="2">
        <v>0.15244582368037735</v>
      </c>
      <c r="L5" s="2">
        <v>0.15346852773644262</v>
      </c>
      <c r="M5" s="2">
        <v>0.16816448885248972</v>
      </c>
      <c r="N5" s="2">
        <v>0.16491849687477281</v>
      </c>
      <c r="O5" s="2">
        <v>0.16619016454834148</v>
      </c>
      <c r="P5" s="2">
        <v>0.16568924427208476</v>
      </c>
      <c r="Q5" s="2">
        <v>0.1643517869913583</v>
      </c>
      <c r="R5" s="2">
        <v>0.16165479686227904</v>
      </c>
      <c r="S5" s="2">
        <v>0.16037532979021463</v>
      </c>
      <c r="T5" s="2">
        <v>0.15951853245748385</v>
      </c>
      <c r="U5" s="2">
        <v>0.15945233278884724</v>
      </c>
      <c r="V5" s="2">
        <v>0.15863874829807745</v>
      </c>
      <c r="W5" s="2">
        <v>0.15863874829807745</v>
      </c>
      <c r="X5" s="2">
        <v>0.16103993996980287</v>
      </c>
    </row>
    <row r="6" spans="1:24" x14ac:dyDescent="0.2">
      <c r="A6" s="1" t="s">
        <v>13</v>
      </c>
      <c r="B6" s="2">
        <v>0.35126725253044522</v>
      </c>
      <c r="C6" s="2">
        <v>0.35185085879128697</v>
      </c>
      <c r="D6" s="2">
        <v>0.35265233599913132</v>
      </c>
      <c r="E6" s="2">
        <v>0.35359897483562214</v>
      </c>
      <c r="F6" s="2">
        <v>0.35343741695787118</v>
      </c>
      <c r="G6" s="2">
        <v>0.353816369708923</v>
      </c>
      <c r="H6" s="2">
        <v>0.35402575500252598</v>
      </c>
      <c r="I6" s="2">
        <v>0.35464582864168115</v>
      </c>
      <c r="J6" s="2">
        <v>0.35526434559124398</v>
      </c>
      <c r="K6" s="2">
        <v>0.35571293869235721</v>
      </c>
      <c r="L6" s="2">
        <v>0.35638746935555077</v>
      </c>
      <c r="M6" s="2">
        <v>0.3567835193166306</v>
      </c>
      <c r="N6" s="2">
        <v>0.35713058025453626</v>
      </c>
      <c r="O6" s="2">
        <v>0.35530413690034379</v>
      </c>
      <c r="P6" s="2">
        <v>0.35701094330220023</v>
      </c>
      <c r="Q6" s="2">
        <v>0.35868563802619341</v>
      </c>
      <c r="R6" s="2">
        <v>0.3592473117171428</v>
      </c>
      <c r="S6" s="2">
        <v>0.35936422735053342</v>
      </c>
      <c r="T6" s="2">
        <v>0.3595733684897634</v>
      </c>
      <c r="U6" s="2">
        <v>0.35999278841412463</v>
      </c>
      <c r="V6" s="2">
        <v>0.35984676506430724</v>
      </c>
      <c r="W6" s="2">
        <v>0.35984676506430724</v>
      </c>
      <c r="X6" s="2">
        <v>0.3591959759285715</v>
      </c>
    </row>
    <row r="7" spans="1:24" x14ac:dyDescent="0.2">
      <c r="A7" s="1" t="s">
        <v>12</v>
      </c>
      <c r="B7" s="2">
        <v>-0.19835120812058427</v>
      </c>
      <c r="C7" s="2">
        <v>-0.26450405083596684</v>
      </c>
      <c r="D7" s="2">
        <v>-0.33065689355134947</v>
      </c>
      <c r="E7" s="2">
        <v>-0.25377957820892344</v>
      </c>
      <c r="F7" s="2">
        <v>-0.29373596981167782</v>
      </c>
      <c r="G7" s="2">
        <v>-0.29961207211017621</v>
      </c>
      <c r="H7" s="2">
        <v>-0.29530134499073024</v>
      </c>
      <c r="I7" s="2">
        <v>-0.38016442060470584</v>
      </c>
      <c r="J7" s="2">
        <v>-0.36667363382875939</v>
      </c>
      <c r="K7" s="2">
        <v>-0.41354574114084225</v>
      </c>
      <c r="L7" s="2">
        <v>-0.40475595742464121</v>
      </c>
      <c r="M7" s="2">
        <v>-0.39315831111743965</v>
      </c>
      <c r="N7" s="2">
        <v>-0.44696809723973241</v>
      </c>
      <c r="O7" s="2">
        <v>-0.42575872242450796</v>
      </c>
      <c r="P7" s="2">
        <v>-0.44074461311101898</v>
      </c>
      <c r="Q7" s="2">
        <v>-0.41700903102755538</v>
      </c>
      <c r="R7" s="2">
        <v>-0.3505109868943691</v>
      </c>
      <c r="S7" s="2">
        <v>-0.41307923048734685</v>
      </c>
      <c r="T7" s="2">
        <v>-0.37741579264402381</v>
      </c>
      <c r="U7" s="2">
        <v>-0.34742965027689943</v>
      </c>
      <c r="V7" s="2">
        <v>-0.32901066578924665</v>
      </c>
      <c r="W7" s="2">
        <v>-0.31947040520608444</v>
      </c>
      <c r="X7" s="2">
        <v>-0.28659431565552573</v>
      </c>
    </row>
    <row r="8" spans="1:24" x14ac:dyDescent="0.2">
      <c r="A8" s="1" t="s">
        <v>11</v>
      </c>
      <c r="B8" s="2">
        <v>-6.6131239384412649E-2</v>
      </c>
      <c r="C8" s="2">
        <v>-4.4578547403216227E-2</v>
      </c>
      <c r="D8" s="2">
        <v>-2.3025855422019757E-2</v>
      </c>
      <c r="E8" s="2">
        <v>-2.4696196615695998E-2</v>
      </c>
      <c r="F8" s="2">
        <v>-6.5108028054237294E-2</v>
      </c>
      <c r="G8" s="2">
        <v>-7.4073030054569222E-2</v>
      </c>
      <c r="H8" s="2">
        <v>-0.12259392887353884</v>
      </c>
      <c r="I8" s="2">
        <v>-2.5535383820533795E-2</v>
      </c>
      <c r="J8" s="2">
        <v>-1.7961196973919756E-2</v>
      </c>
      <c r="K8" s="2">
        <v>-5.3196616657078241E-2</v>
      </c>
      <c r="L8" s="2">
        <v>-7.8939975425600981E-2</v>
      </c>
      <c r="M8" s="2">
        <v>-9.0503166615962999E-2</v>
      </c>
      <c r="N8" s="2">
        <v>-0.13804678291780864</v>
      </c>
      <c r="O8" s="2">
        <v>-8.9677212387323305E-2</v>
      </c>
      <c r="P8" s="2">
        <v>-1.6720968484878602E-2</v>
      </c>
      <c r="Q8" s="2">
        <v>2.7327999472618197E-2</v>
      </c>
      <c r="R8" s="2">
        <v>1.8897566199302811E-2</v>
      </c>
      <c r="S8" s="2">
        <v>3.2444190979003883E-2</v>
      </c>
      <c r="T8" s="2">
        <v>7.6546022295951976E-2</v>
      </c>
      <c r="U8" s="2">
        <v>0.14912773221731176</v>
      </c>
      <c r="V8" s="2">
        <v>0.13287325650453569</v>
      </c>
      <c r="W8" s="2">
        <v>9.384018927812568E-2</v>
      </c>
      <c r="X8" s="2">
        <v>0.15070204749703819</v>
      </c>
    </row>
    <row r="9" spans="1:24" x14ac:dyDescent="0.2">
      <c r="A9" s="1" t="s">
        <v>10</v>
      </c>
      <c r="B9" s="2">
        <v>-0.53082596659660386</v>
      </c>
      <c r="C9" s="2">
        <v>-0.48439238667488149</v>
      </c>
      <c r="D9" s="2">
        <v>-0.43795880675315929</v>
      </c>
      <c r="E9" s="2">
        <v>-0.71542708175256853</v>
      </c>
      <c r="F9" s="2">
        <v>-0.71868608295917458</v>
      </c>
      <c r="G9" s="2">
        <v>-0.641762071847916</v>
      </c>
      <c r="H9" s="2">
        <v>-0.5523779481649389</v>
      </c>
      <c r="I9" s="2">
        <v>-0.53216671943664462</v>
      </c>
      <c r="J9" s="2">
        <v>-0.52332507818937335</v>
      </c>
      <c r="K9" s="2">
        <v>-0.54561684429645474</v>
      </c>
      <c r="L9" s="2">
        <v>-0.57609100248664702</v>
      </c>
      <c r="M9" s="2">
        <v>-0.60713122673332687</v>
      </c>
      <c r="N9" s="2">
        <v>-0.5250459287315612</v>
      </c>
      <c r="O9" s="2">
        <v>-0.56278110668063208</v>
      </c>
      <c r="P9" s="2">
        <v>-0.53615851402282699</v>
      </c>
      <c r="Q9" s="2">
        <v>-0.61451483368873705</v>
      </c>
      <c r="R9" s="2">
        <v>-0.58363091349601748</v>
      </c>
      <c r="S9" s="2">
        <v>-0.47757535278797131</v>
      </c>
      <c r="T9" s="2">
        <v>-0.49928563833236722</v>
      </c>
      <c r="U9" s="2">
        <v>-0.51326652765274061</v>
      </c>
      <c r="V9" s="2">
        <v>-0.49842506647109974</v>
      </c>
      <c r="W9" s="2">
        <v>-0.58678665757179238</v>
      </c>
      <c r="X9" s="2">
        <v>-0.58033645987510862</v>
      </c>
    </row>
    <row r="10" spans="1:24" x14ac:dyDescent="0.2">
      <c r="A10" s="1" t="s">
        <v>9</v>
      </c>
      <c r="B10" s="2">
        <v>-4.1534116864204204E-2</v>
      </c>
      <c r="C10" s="2">
        <v>-4.9334433674812314E-2</v>
      </c>
      <c r="D10" s="2">
        <v>-5.7134750485420403E-2</v>
      </c>
      <c r="E10" s="2">
        <v>1.8729954957961814E-2</v>
      </c>
      <c r="F10" s="2">
        <v>-1.8980813026428244E-2</v>
      </c>
      <c r="G10" s="2">
        <v>3.0419252812862417E-2</v>
      </c>
      <c r="H10" s="2">
        <v>-4.487059116363503E-2</v>
      </c>
      <c r="I10" s="2">
        <v>-4.5970712229609315E-2</v>
      </c>
      <c r="J10" s="2">
        <v>-4.9441853165626659E-2</v>
      </c>
      <c r="K10" s="2">
        <v>-7.1833273768425007E-2</v>
      </c>
      <c r="L10" s="2">
        <v>-6.9948300719261197E-2</v>
      </c>
      <c r="M10" s="2">
        <v>-4.5896208286285399E-2</v>
      </c>
      <c r="N10" s="2">
        <v>-0.1080355167388916</v>
      </c>
      <c r="O10" s="2">
        <v>-0.12808133363723737</v>
      </c>
      <c r="P10" s="2">
        <v>-0.20126272439956669</v>
      </c>
      <c r="Q10" s="2">
        <v>-0.24816602170467364</v>
      </c>
      <c r="R10" s="2">
        <v>-0.21731757223606102</v>
      </c>
      <c r="S10" s="2">
        <v>-0.17574212849140178</v>
      </c>
      <c r="T10" s="2">
        <v>-0.2569977834820748</v>
      </c>
      <c r="U10" s="2">
        <v>-0.19542482122778915</v>
      </c>
      <c r="V10" s="2">
        <v>-0.16593944504857067</v>
      </c>
      <c r="W10" s="2">
        <v>-0.2211726501584054</v>
      </c>
      <c r="X10" s="2">
        <v>-0.20299617715180104</v>
      </c>
    </row>
    <row r="11" spans="1:24" x14ac:dyDescent="0.2">
      <c r="A11" s="1" t="s">
        <v>8</v>
      </c>
      <c r="B11" s="2">
        <v>-0.26956643462181085</v>
      </c>
      <c r="C11" s="2">
        <v>-0.29959815423935648</v>
      </c>
      <c r="D11" s="2">
        <v>-0.32962987385690218</v>
      </c>
      <c r="E11" s="2">
        <v>-0.34416896849870682</v>
      </c>
      <c r="F11" s="2">
        <v>-0.36873835334554322</v>
      </c>
      <c r="G11" s="2">
        <v>-0.39369598943740142</v>
      </c>
      <c r="H11" s="2">
        <v>-0.34594212174415578</v>
      </c>
      <c r="I11" s="2">
        <v>-0.38351628399686905</v>
      </c>
      <c r="J11" s="2">
        <v>-0.33548142518848173</v>
      </c>
      <c r="K11" s="2">
        <v>-0.2566325597465039</v>
      </c>
      <c r="L11" s="2">
        <v>-0.23000797554850577</v>
      </c>
      <c r="M11" s="2">
        <v>-0.22251340225338939</v>
      </c>
      <c r="N11" s="2">
        <v>-0.29167502075433738</v>
      </c>
      <c r="O11" s="2">
        <v>-0.26991849839687337</v>
      </c>
      <c r="P11" s="2">
        <v>-0.22699896767735459</v>
      </c>
      <c r="Q11" s="2">
        <v>-0.27374763190746287</v>
      </c>
      <c r="R11" s="2">
        <v>-0.2598253205418587</v>
      </c>
      <c r="S11" s="2">
        <v>-0.30028430689126251</v>
      </c>
      <c r="T11" s="2">
        <v>-0.2900676533579824</v>
      </c>
      <c r="U11" s="2">
        <v>-0.27321894839406002</v>
      </c>
      <c r="V11" s="2">
        <v>-0.25758096277713771</v>
      </c>
      <c r="W11" s="2">
        <v>-0.21307272464036928</v>
      </c>
      <c r="X11" s="2">
        <v>-0.20477196268737502</v>
      </c>
    </row>
    <row r="12" spans="1:24" x14ac:dyDescent="0.2">
      <c r="A12" s="1" t="s">
        <v>7</v>
      </c>
      <c r="B12" s="2">
        <v>-6.6090691089629811E-2</v>
      </c>
      <c r="C12" s="2">
        <v>-8.108304738998387E-2</v>
      </c>
      <c r="D12" s="2">
        <v>-9.6075403690337985E-2</v>
      </c>
      <c r="E12" s="2">
        <v>-9.0084242820738986E-2</v>
      </c>
      <c r="F12" s="2">
        <v>-0.10595232248306323</v>
      </c>
      <c r="G12" s="2">
        <v>-0.12638263106346101</v>
      </c>
      <c r="H12" s="2">
        <v>-0.21612829566001879</v>
      </c>
      <c r="I12" s="2">
        <v>-0.21357020139694241</v>
      </c>
      <c r="J12" s="2">
        <v>-0.1927327692508696</v>
      </c>
      <c r="K12" s="2">
        <v>-0.20956364870071359</v>
      </c>
      <c r="L12" s="2">
        <v>-0.19055920243263275</v>
      </c>
      <c r="M12" s="2">
        <v>-0.19617392420768637</v>
      </c>
      <c r="N12" s="2">
        <v>-0.23144918680190996</v>
      </c>
      <c r="O12" s="2">
        <v>-0.240535193681717</v>
      </c>
      <c r="P12" s="2">
        <v>-0.22708740830421456</v>
      </c>
      <c r="Q12" s="2">
        <v>-0.24263566136360018</v>
      </c>
      <c r="R12" s="2">
        <v>-0.23000380992889377</v>
      </c>
      <c r="S12" s="2">
        <v>-0.225597298145294</v>
      </c>
      <c r="T12" s="2">
        <v>-0.23823168277740439</v>
      </c>
      <c r="U12" s="2">
        <v>-0.30416250228881853</v>
      </c>
      <c r="V12" s="2">
        <v>-0.31482036709785577</v>
      </c>
      <c r="W12" s="2">
        <v>-0.31180911958217578</v>
      </c>
      <c r="X12" s="2">
        <v>-0.35362789213657531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Sheet2</vt:lpstr>
      <vt:lpstr>Marginal Impacts (7.3.1)</vt:lpstr>
      <vt:lpstr>Marginal Impacts (7.2.1)</vt:lpstr>
      <vt:lpstr>Marginal Impacts (7.1.2)</vt:lpstr>
      <vt:lpstr>Marginal Impacts (7.1.1)</vt:lpstr>
      <vt:lpstr>Coefficients (7.3.1)</vt:lpstr>
      <vt:lpstr>Coefficients (7.2.1)</vt:lpstr>
      <vt:lpstr>Coefficients (7.1.2)</vt:lpstr>
      <vt:lpstr>Coefficients (7.1.1)</vt:lpstr>
      <vt:lpstr>Means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Avik Sinha</dc:creator>
  <cp:lastModifiedBy>Avik Sinha</cp:lastModifiedBy>
  <dcterms:created xsi:type="dcterms:W3CDTF">2025-01-17T07:02:58Z</dcterms:created>
  <dcterms:modified xsi:type="dcterms:W3CDTF">2025-08-19T13:03:00Z</dcterms:modified>
</cp:coreProperties>
</file>