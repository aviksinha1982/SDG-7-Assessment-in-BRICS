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\PAPERS\NEW\Abhinav Jindal\Oxford\Marginal Impact\Aggregate\"/>
    </mc:Choice>
  </mc:AlternateContent>
  <xr:revisionPtr revIDLastSave="0" documentId="13_ncr:1_{23124366-E0BE-44AE-80C1-E4B4818C55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rginal Impacts (7.3.1)" sheetId="1" r:id="rId1"/>
    <sheet name="Marginal Impacts (7.2.1)" sheetId="2" r:id="rId2"/>
    <sheet name="Marginal Impacts (7.1.2)" sheetId="3" r:id="rId3"/>
    <sheet name="Marginal Impacts (7.1.1)" sheetId="4" r:id="rId4"/>
    <sheet name="Coefficients (7.3.1)" sheetId="5" r:id="rId5"/>
    <sheet name="Coefficients (7.2.1)" sheetId="6" r:id="rId6"/>
    <sheet name="Coefficients (7.1.2)" sheetId="7" r:id="rId7"/>
    <sheet name="Coefficients (7.1.1)" sheetId="8" r:id="rId8"/>
    <sheet name="Mean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sqfhbWbU5Lu4MZHHtmxfabj+ImWn368v0/2SFRfJPhQ="/>
    </ext>
  </extLst>
</workbook>
</file>

<file path=xl/calcChain.xml><?xml version="1.0" encoding="utf-8"?>
<calcChain xmlns="http://schemas.openxmlformats.org/spreadsheetml/2006/main">
  <c r="F32" i="4" l="1"/>
  <c r="E32" i="4"/>
  <c r="D32" i="4"/>
  <c r="C32" i="4"/>
  <c r="B32" i="4"/>
  <c r="F31" i="4"/>
  <c r="E31" i="4"/>
  <c r="D31" i="4"/>
  <c r="C31" i="4"/>
  <c r="B31" i="4"/>
  <c r="F30" i="4"/>
  <c r="E30" i="4"/>
  <c r="D30" i="4"/>
  <c r="C30" i="4"/>
  <c r="B30" i="4"/>
  <c r="F29" i="4"/>
  <c r="E29" i="4"/>
  <c r="D29" i="4"/>
  <c r="C29" i="4"/>
  <c r="B29" i="4"/>
  <c r="F28" i="4"/>
  <c r="E28" i="4"/>
  <c r="D28" i="4"/>
  <c r="C28" i="4"/>
  <c r="B28" i="4"/>
  <c r="F27" i="4"/>
  <c r="E27" i="4"/>
  <c r="D27" i="4"/>
  <c r="C27" i="4"/>
  <c r="B27" i="4"/>
  <c r="F26" i="4"/>
  <c r="E26" i="4"/>
  <c r="D26" i="4"/>
  <c r="C26" i="4"/>
  <c r="B26" i="4"/>
  <c r="F25" i="4"/>
  <c r="E25" i="4"/>
  <c r="D25" i="4"/>
  <c r="C25" i="4"/>
  <c r="B25" i="4"/>
  <c r="F24" i="4"/>
  <c r="E24" i="4"/>
  <c r="D24" i="4"/>
  <c r="C24" i="4"/>
  <c r="B24" i="4"/>
  <c r="F23" i="4"/>
  <c r="E23" i="4"/>
  <c r="D23" i="4"/>
  <c r="C23" i="4"/>
  <c r="B23" i="4"/>
  <c r="F22" i="4"/>
  <c r="E22" i="4"/>
  <c r="D22" i="4"/>
  <c r="C22" i="4"/>
  <c r="B22" i="4"/>
  <c r="F21" i="4"/>
  <c r="E21" i="4"/>
  <c r="D21" i="4"/>
  <c r="C21" i="4"/>
  <c r="B21" i="4"/>
  <c r="F20" i="4"/>
  <c r="E20" i="4"/>
  <c r="D20" i="4"/>
  <c r="C20" i="4"/>
  <c r="B20" i="4"/>
  <c r="F19" i="4"/>
  <c r="E19" i="4"/>
  <c r="D19" i="4"/>
  <c r="C19" i="4"/>
  <c r="B19" i="4"/>
  <c r="F18" i="4"/>
  <c r="E18" i="4"/>
  <c r="D18" i="4"/>
  <c r="C18" i="4"/>
  <c r="B18" i="4"/>
  <c r="F17" i="4"/>
  <c r="E17" i="4"/>
  <c r="D17" i="4"/>
  <c r="C17" i="4"/>
  <c r="B17" i="4"/>
  <c r="F16" i="4"/>
  <c r="E16" i="4"/>
  <c r="D16" i="4"/>
  <c r="C16" i="4"/>
  <c r="B16" i="4"/>
  <c r="F15" i="4"/>
  <c r="E15" i="4"/>
  <c r="D15" i="4"/>
  <c r="C15" i="4"/>
  <c r="B15" i="4"/>
  <c r="F14" i="4"/>
  <c r="E14" i="4"/>
  <c r="D14" i="4"/>
  <c r="C14" i="4"/>
  <c r="B14" i="4"/>
  <c r="F13" i="4"/>
  <c r="E13" i="4"/>
  <c r="D13" i="4"/>
  <c r="C13" i="4"/>
  <c r="B13" i="4"/>
  <c r="F12" i="4"/>
  <c r="E12" i="4"/>
  <c r="D12" i="4"/>
  <c r="C12" i="4"/>
  <c r="B12" i="4"/>
  <c r="F11" i="4"/>
  <c r="E11" i="4"/>
  <c r="D11" i="4"/>
  <c r="C11" i="4"/>
  <c r="B11" i="4"/>
  <c r="F10" i="4"/>
  <c r="E10" i="4"/>
  <c r="D10" i="4"/>
  <c r="C10" i="4"/>
  <c r="B10" i="4"/>
  <c r="F9" i="4"/>
  <c r="E9" i="4"/>
  <c r="D9" i="4"/>
  <c r="C9" i="4"/>
  <c r="B9" i="4"/>
  <c r="F8" i="4"/>
  <c r="E8" i="4"/>
  <c r="D8" i="4"/>
  <c r="C8" i="4"/>
  <c r="B8" i="4"/>
  <c r="F7" i="4"/>
  <c r="E7" i="4"/>
  <c r="D7" i="4"/>
  <c r="C7" i="4"/>
  <c r="B7" i="4"/>
  <c r="C40" i="4" s="1"/>
  <c r="F6" i="4"/>
  <c r="E6" i="4"/>
  <c r="D6" i="4"/>
  <c r="C6" i="4"/>
  <c r="B6" i="4"/>
  <c r="C39" i="4" s="1"/>
  <c r="F5" i="4"/>
  <c r="E5" i="4"/>
  <c r="D5" i="4"/>
  <c r="C5" i="4"/>
  <c r="B5" i="4"/>
  <c r="C38" i="4" s="1"/>
  <c r="F4" i="4"/>
  <c r="E4" i="4"/>
  <c r="D4" i="4"/>
  <c r="C4" i="4"/>
  <c r="B4" i="4"/>
  <c r="C37" i="4" s="1"/>
  <c r="F3" i="4"/>
  <c r="E3" i="4"/>
  <c r="D3" i="4"/>
  <c r="C3" i="4"/>
  <c r="B3" i="4"/>
  <c r="C36" i="4" s="1"/>
  <c r="F32" i="3"/>
  <c r="E32" i="3"/>
  <c r="D32" i="3"/>
  <c r="C32" i="3"/>
  <c r="B32" i="3"/>
  <c r="F31" i="3"/>
  <c r="E31" i="3"/>
  <c r="D31" i="3"/>
  <c r="C31" i="3"/>
  <c r="B31" i="3"/>
  <c r="F30" i="3"/>
  <c r="E30" i="3"/>
  <c r="D30" i="3"/>
  <c r="C30" i="3"/>
  <c r="B30" i="3"/>
  <c r="F29" i="3"/>
  <c r="E29" i="3"/>
  <c r="D29" i="3"/>
  <c r="C29" i="3"/>
  <c r="B29" i="3"/>
  <c r="F28" i="3"/>
  <c r="E28" i="3"/>
  <c r="D28" i="3"/>
  <c r="C28" i="3"/>
  <c r="B28" i="3"/>
  <c r="F27" i="3"/>
  <c r="E27" i="3"/>
  <c r="D27" i="3"/>
  <c r="C27" i="3"/>
  <c r="B27" i="3"/>
  <c r="F26" i="3"/>
  <c r="E26" i="3"/>
  <c r="D26" i="3"/>
  <c r="C26" i="3"/>
  <c r="B26" i="3"/>
  <c r="F25" i="3"/>
  <c r="E25" i="3"/>
  <c r="D25" i="3"/>
  <c r="C25" i="3"/>
  <c r="B25" i="3"/>
  <c r="F24" i="3"/>
  <c r="E24" i="3"/>
  <c r="D24" i="3"/>
  <c r="C24" i="3"/>
  <c r="B24" i="3"/>
  <c r="F23" i="3"/>
  <c r="E23" i="3"/>
  <c r="D23" i="3"/>
  <c r="C23" i="3"/>
  <c r="B23" i="3"/>
  <c r="F22" i="3"/>
  <c r="E22" i="3"/>
  <c r="D22" i="3"/>
  <c r="C22" i="3"/>
  <c r="B22" i="3"/>
  <c r="F21" i="3"/>
  <c r="E21" i="3"/>
  <c r="D21" i="3"/>
  <c r="C21" i="3"/>
  <c r="B21" i="3"/>
  <c r="F20" i="3"/>
  <c r="E20" i="3"/>
  <c r="D20" i="3"/>
  <c r="C20" i="3"/>
  <c r="B20" i="3"/>
  <c r="F19" i="3"/>
  <c r="E19" i="3"/>
  <c r="D19" i="3"/>
  <c r="C19" i="3"/>
  <c r="B19" i="3"/>
  <c r="F18" i="3"/>
  <c r="E18" i="3"/>
  <c r="D18" i="3"/>
  <c r="C18" i="3"/>
  <c r="B18" i="3"/>
  <c r="F17" i="3"/>
  <c r="E17" i="3"/>
  <c r="D17" i="3"/>
  <c r="C17" i="3"/>
  <c r="B17" i="3"/>
  <c r="F16" i="3"/>
  <c r="E16" i="3"/>
  <c r="D16" i="3"/>
  <c r="C16" i="3"/>
  <c r="B16" i="3"/>
  <c r="F15" i="3"/>
  <c r="E15" i="3"/>
  <c r="D15" i="3"/>
  <c r="C15" i="3"/>
  <c r="B15" i="3"/>
  <c r="F14" i="3"/>
  <c r="E14" i="3"/>
  <c r="D14" i="3"/>
  <c r="C14" i="3"/>
  <c r="B14" i="3"/>
  <c r="F13" i="3"/>
  <c r="E13" i="3"/>
  <c r="D13" i="3"/>
  <c r="C13" i="3"/>
  <c r="B13" i="3"/>
  <c r="F12" i="3"/>
  <c r="E12" i="3"/>
  <c r="D12" i="3"/>
  <c r="C12" i="3"/>
  <c r="B12" i="3"/>
  <c r="F11" i="3"/>
  <c r="E11" i="3"/>
  <c r="D11" i="3"/>
  <c r="C11" i="3"/>
  <c r="B11" i="3"/>
  <c r="F10" i="3"/>
  <c r="E10" i="3"/>
  <c r="D10" i="3"/>
  <c r="C10" i="3"/>
  <c r="B10" i="3"/>
  <c r="F9" i="3"/>
  <c r="E9" i="3"/>
  <c r="D9" i="3"/>
  <c r="C9" i="3"/>
  <c r="B9" i="3"/>
  <c r="F8" i="3"/>
  <c r="E8" i="3"/>
  <c r="D8" i="3"/>
  <c r="C8" i="3"/>
  <c r="B8" i="3"/>
  <c r="F7" i="3"/>
  <c r="E7" i="3"/>
  <c r="D7" i="3"/>
  <c r="C7" i="3"/>
  <c r="B7" i="3"/>
  <c r="C40" i="3" s="1"/>
  <c r="F6" i="3"/>
  <c r="E6" i="3"/>
  <c r="D6" i="3"/>
  <c r="C6" i="3"/>
  <c r="B6" i="3"/>
  <c r="C39" i="3" s="1"/>
  <c r="F5" i="3"/>
  <c r="E5" i="3"/>
  <c r="D5" i="3"/>
  <c r="C5" i="3"/>
  <c r="B5" i="3"/>
  <c r="C38" i="3" s="1"/>
  <c r="F4" i="3"/>
  <c r="E4" i="3"/>
  <c r="D4" i="3"/>
  <c r="C4" i="3"/>
  <c r="B4" i="3"/>
  <c r="C37" i="3" s="1"/>
  <c r="F3" i="3"/>
  <c r="E3" i="3"/>
  <c r="D3" i="3"/>
  <c r="C3" i="3"/>
  <c r="B3" i="3"/>
  <c r="C36" i="3" s="1"/>
  <c r="F32" i="2"/>
  <c r="E32" i="2"/>
  <c r="D32" i="2"/>
  <c r="C32" i="2"/>
  <c r="B32" i="2"/>
  <c r="F31" i="2"/>
  <c r="E31" i="2"/>
  <c r="D31" i="2"/>
  <c r="C31" i="2"/>
  <c r="B31" i="2"/>
  <c r="F30" i="2"/>
  <c r="E30" i="2"/>
  <c r="D30" i="2"/>
  <c r="C30" i="2"/>
  <c r="B30" i="2"/>
  <c r="F29" i="2"/>
  <c r="E29" i="2"/>
  <c r="D29" i="2"/>
  <c r="C29" i="2"/>
  <c r="B29" i="2"/>
  <c r="F28" i="2"/>
  <c r="E28" i="2"/>
  <c r="D28" i="2"/>
  <c r="C28" i="2"/>
  <c r="B28" i="2"/>
  <c r="F27" i="2"/>
  <c r="E27" i="2"/>
  <c r="D27" i="2"/>
  <c r="C27" i="2"/>
  <c r="B27" i="2"/>
  <c r="F26" i="2"/>
  <c r="E26" i="2"/>
  <c r="D26" i="2"/>
  <c r="C26" i="2"/>
  <c r="B26" i="2"/>
  <c r="F25" i="2"/>
  <c r="E25" i="2"/>
  <c r="D25" i="2"/>
  <c r="C25" i="2"/>
  <c r="B25" i="2"/>
  <c r="F24" i="2"/>
  <c r="E24" i="2"/>
  <c r="D24" i="2"/>
  <c r="C24" i="2"/>
  <c r="B24" i="2"/>
  <c r="F23" i="2"/>
  <c r="E23" i="2"/>
  <c r="D23" i="2"/>
  <c r="C23" i="2"/>
  <c r="B23" i="2"/>
  <c r="F22" i="2"/>
  <c r="E22" i="2"/>
  <c r="D22" i="2"/>
  <c r="C22" i="2"/>
  <c r="B22" i="2"/>
  <c r="F21" i="2"/>
  <c r="E21" i="2"/>
  <c r="D21" i="2"/>
  <c r="C21" i="2"/>
  <c r="B21" i="2"/>
  <c r="F20" i="2"/>
  <c r="E20" i="2"/>
  <c r="D20" i="2"/>
  <c r="C20" i="2"/>
  <c r="B20" i="2"/>
  <c r="F19" i="2"/>
  <c r="E19" i="2"/>
  <c r="D19" i="2"/>
  <c r="C19" i="2"/>
  <c r="B19" i="2"/>
  <c r="F18" i="2"/>
  <c r="E18" i="2"/>
  <c r="D18" i="2"/>
  <c r="C18" i="2"/>
  <c r="B18" i="2"/>
  <c r="F17" i="2"/>
  <c r="E17" i="2"/>
  <c r="D17" i="2"/>
  <c r="C17" i="2"/>
  <c r="B17" i="2"/>
  <c r="F16" i="2"/>
  <c r="E16" i="2"/>
  <c r="D16" i="2"/>
  <c r="C16" i="2"/>
  <c r="B16" i="2"/>
  <c r="F15" i="2"/>
  <c r="E15" i="2"/>
  <c r="D15" i="2"/>
  <c r="C15" i="2"/>
  <c r="B15" i="2"/>
  <c r="F14" i="2"/>
  <c r="E14" i="2"/>
  <c r="D14" i="2"/>
  <c r="C14" i="2"/>
  <c r="B14" i="2"/>
  <c r="F13" i="2"/>
  <c r="E13" i="2"/>
  <c r="D13" i="2"/>
  <c r="C13" i="2"/>
  <c r="B13" i="2"/>
  <c r="F12" i="2"/>
  <c r="E12" i="2"/>
  <c r="D12" i="2"/>
  <c r="C12" i="2"/>
  <c r="B12" i="2"/>
  <c r="F11" i="2"/>
  <c r="E11" i="2"/>
  <c r="D11" i="2"/>
  <c r="C11" i="2"/>
  <c r="B11" i="2"/>
  <c r="F10" i="2"/>
  <c r="E10" i="2"/>
  <c r="D10" i="2"/>
  <c r="C10" i="2"/>
  <c r="B10" i="2"/>
  <c r="F9" i="2"/>
  <c r="E9" i="2"/>
  <c r="D9" i="2"/>
  <c r="C9" i="2"/>
  <c r="B9" i="2"/>
  <c r="F8" i="2"/>
  <c r="E8" i="2"/>
  <c r="D8" i="2"/>
  <c r="C8" i="2"/>
  <c r="B8" i="2"/>
  <c r="F7" i="2"/>
  <c r="E7" i="2"/>
  <c r="D7" i="2"/>
  <c r="C7" i="2"/>
  <c r="B7" i="2"/>
  <c r="C40" i="2" s="1"/>
  <c r="F6" i="2"/>
  <c r="E6" i="2"/>
  <c r="D6" i="2"/>
  <c r="C6" i="2"/>
  <c r="B6" i="2"/>
  <c r="C39" i="2" s="1"/>
  <c r="F5" i="2"/>
  <c r="E5" i="2"/>
  <c r="D5" i="2"/>
  <c r="C5" i="2"/>
  <c r="B5" i="2"/>
  <c r="C38" i="2" s="1"/>
  <c r="F4" i="2"/>
  <c r="E4" i="2"/>
  <c r="D4" i="2"/>
  <c r="C4" i="2"/>
  <c r="B4" i="2"/>
  <c r="C37" i="2" s="1"/>
  <c r="F3" i="2"/>
  <c r="E3" i="2"/>
  <c r="D3" i="2"/>
  <c r="C3" i="2"/>
  <c r="B3" i="2"/>
  <c r="C36" i="2" s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8" i="1"/>
  <c r="E28" i="1"/>
  <c r="D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F21" i="1"/>
  <c r="E21" i="1"/>
  <c r="D21" i="1"/>
  <c r="C21" i="1"/>
  <c r="B21" i="1"/>
  <c r="F20" i="1"/>
  <c r="E20" i="1"/>
  <c r="D20" i="1"/>
  <c r="C20" i="1"/>
  <c r="B20" i="1"/>
  <c r="F19" i="1"/>
  <c r="E19" i="1"/>
  <c r="D19" i="1"/>
  <c r="C19" i="1"/>
  <c r="B19" i="1"/>
  <c r="F18" i="1"/>
  <c r="E18" i="1"/>
  <c r="D18" i="1"/>
  <c r="C18" i="1"/>
  <c r="B18" i="1"/>
  <c r="F17" i="1"/>
  <c r="E17" i="1"/>
  <c r="D17" i="1"/>
  <c r="C17" i="1"/>
  <c r="B17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C40" i="1" s="1"/>
  <c r="F6" i="1"/>
  <c r="E6" i="1"/>
  <c r="D6" i="1"/>
  <c r="C6" i="1"/>
  <c r="B6" i="1"/>
  <c r="C39" i="1" s="1"/>
  <c r="F5" i="1"/>
  <c r="E5" i="1"/>
  <c r="D5" i="1"/>
  <c r="C5" i="1"/>
  <c r="B5" i="1"/>
  <c r="C38" i="1" s="1"/>
  <c r="F4" i="1"/>
  <c r="E4" i="1"/>
  <c r="D4" i="1"/>
  <c r="C4" i="1"/>
  <c r="B4" i="1"/>
  <c r="C37" i="1" s="1"/>
  <c r="F3" i="1"/>
  <c r="E3" i="1"/>
  <c r="D3" i="1"/>
  <c r="C3" i="1"/>
  <c r="B3" i="1"/>
  <c r="C36" i="1" s="1"/>
  <c r="B37" i="1" l="1"/>
  <c r="B39" i="1"/>
  <c r="B37" i="2"/>
  <c r="B39" i="2"/>
  <c r="B37" i="3"/>
  <c r="B39" i="3"/>
  <c r="B37" i="4"/>
  <c r="B39" i="4"/>
  <c r="B36" i="1"/>
  <c r="B38" i="1"/>
  <c r="B40" i="1"/>
  <c r="B36" i="2"/>
  <c r="B38" i="2"/>
  <c r="B40" i="2"/>
  <c r="B36" i="3"/>
  <c r="B38" i="3"/>
  <c r="B40" i="3"/>
  <c r="B36" i="4"/>
  <c r="B38" i="4"/>
  <c r="B40" i="4"/>
</calcChain>
</file>

<file path=xl/sharedStrings.xml><?xml version="1.0" encoding="utf-8"?>
<sst xmlns="http://schemas.openxmlformats.org/spreadsheetml/2006/main" count="332" uniqueCount="40">
  <si>
    <t>7.3.1</t>
  </si>
  <si>
    <t>EV</t>
  </si>
  <si>
    <t>FV</t>
  </si>
  <si>
    <t>HLV</t>
  </si>
  <si>
    <t>IV</t>
  </si>
  <si>
    <t>WV</t>
  </si>
  <si>
    <t>CORR</t>
  </si>
  <si>
    <t>GOVEFF</t>
  </si>
  <si>
    <t>POLST</t>
  </si>
  <si>
    <t>REG</t>
  </si>
  <si>
    <t>RULE</t>
  </si>
  <si>
    <t>VOICE</t>
  </si>
  <si>
    <t>Fall in Impact</t>
  </si>
  <si>
    <t>Rise in Impact</t>
  </si>
  <si>
    <t>Policy Stringency</t>
  </si>
  <si>
    <t>Environmental Innovation</t>
  </si>
  <si>
    <t>Foreign Direct Investment</t>
  </si>
  <si>
    <t>Industrial Share</t>
  </si>
  <si>
    <t>Energy Demand</t>
  </si>
  <si>
    <t>7.2.1</t>
  </si>
  <si>
    <t>Financial Development</t>
  </si>
  <si>
    <t>Net Energy Import</t>
  </si>
  <si>
    <t>Low Carbon Trade</t>
  </si>
  <si>
    <t>7.1.2</t>
  </si>
  <si>
    <t>Renewable Electricity Generation</t>
  </si>
  <si>
    <t>Financial Access</t>
  </si>
  <si>
    <t>Per Capita Income</t>
  </si>
  <si>
    <t>Urban Population Growth</t>
  </si>
  <si>
    <t>7.1.1</t>
  </si>
  <si>
    <t>Electricity Generation</t>
  </si>
  <si>
    <t>Rural Population Growth</t>
  </si>
  <si>
    <t>Income Inequality</t>
  </si>
  <si>
    <t>Health Expenditure</t>
  </si>
  <si>
    <t>Ecosystem Vulnerability</t>
  </si>
  <si>
    <t>Food Vulnerability</t>
  </si>
  <si>
    <t>Health Vulnerability</t>
  </si>
  <si>
    <t>Infrastructure Vulnerability</t>
  </si>
  <si>
    <t>Water Vulnerability</t>
  </si>
  <si>
    <t>Year</t>
  </si>
  <si>
    <t>HELV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</si>
</sst>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scheme val="minor"/>
    </font>
    <font>
      <sz val="8"/>
      <color theme="1"/>
      <name val="Verdana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10" fontId="1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1" i="0">
                <a:solidFill>
                  <a:srgbClr val="000000"/>
                </a:solidFill>
                <a:latin typeface="Gentium Basic"/>
              </a:defRPr>
            </a:pPr>
            <a:r>
              <a:rPr lang="en-US" sz="1200" b="1" i="0">
                <a:solidFill>
                  <a:srgbClr val="000000"/>
                </a:solidFill>
                <a:latin typeface="Gentium Basic"/>
              </a:rPr>
              <a:t>instances of Static marginal impact: SDG 7.3.1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Fall in Impact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Gentium Basic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'Marginal Impacts (7.3.1)'!$A$36:$A$40</c:f>
              <c:strCache>
                <c:ptCount val="5"/>
                <c:pt idx="0">
                  <c:v>Policy Stringency</c:v>
                </c:pt>
                <c:pt idx="1">
                  <c:v>Environmental Innovation</c:v>
                </c:pt>
                <c:pt idx="2">
                  <c:v>Foreign Direct Investment</c:v>
                </c:pt>
                <c:pt idx="3">
                  <c:v>Industrial Share</c:v>
                </c:pt>
                <c:pt idx="4">
                  <c:v>Energy Demand</c:v>
                </c:pt>
              </c:strCache>
            </c:strRef>
          </c:cat>
          <c:val>
            <c:numRef>
              <c:f>'Marginal Impacts (7.3.1)'!$B$36:$B$40</c:f>
              <c:numCache>
                <c:formatCode>0.00%</c:formatCode>
                <c:ptCount val="5"/>
                <c:pt idx="0">
                  <c:v>0.16666666666666666</c:v>
                </c:pt>
                <c:pt idx="1">
                  <c:v>0.46666666666666667</c:v>
                </c:pt>
                <c:pt idx="2">
                  <c:v>0.76666666666666672</c:v>
                </c:pt>
                <c:pt idx="3">
                  <c:v>3.3333333333333333E-2</c:v>
                </c:pt>
                <c:pt idx="4">
                  <c:v>0.6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23C-40FC-AD7E-BAD46B3DD3A7}"/>
            </c:ext>
          </c:extLst>
        </c:ser>
        <c:ser>
          <c:idx val="1"/>
          <c:order val="1"/>
          <c:tx>
            <c:v>Rise in Impact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Gentium Basic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'Marginal Impacts (7.3.1)'!$A$36:$A$40</c:f>
              <c:strCache>
                <c:ptCount val="5"/>
                <c:pt idx="0">
                  <c:v>Policy Stringency</c:v>
                </c:pt>
                <c:pt idx="1">
                  <c:v>Environmental Innovation</c:v>
                </c:pt>
                <c:pt idx="2">
                  <c:v>Foreign Direct Investment</c:v>
                </c:pt>
                <c:pt idx="3">
                  <c:v>Industrial Share</c:v>
                </c:pt>
                <c:pt idx="4">
                  <c:v>Energy Demand</c:v>
                </c:pt>
              </c:strCache>
            </c:strRef>
          </c:cat>
          <c:val>
            <c:numRef>
              <c:f>'Marginal Impacts (7.3.1)'!$C$36:$C$40</c:f>
              <c:numCache>
                <c:formatCode>0.00%</c:formatCode>
                <c:ptCount val="5"/>
                <c:pt idx="0">
                  <c:v>0.83333333333333337</c:v>
                </c:pt>
                <c:pt idx="1">
                  <c:v>0.53333333333333333</c:v>
                </c:pt>
                <c:pt idx="2">
                  <c:v>0.23333333333333334</c:v>
                </c:pt>
                <c:pt idx="3">
                  <c:v>0.96666666666666667</c:v>
                </c:pt>
                <c:pt idx="4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23C-40FC-AD7E-BAD46B3DD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780288"/>
        <c:axId val="900928546"/>
      </c:barChart>
      <c:catAx>
        <c:axId val="240780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1" i="0">
                <a:solidFill>
                  <a:srgbClr val="000000"/>
                </a:solidFill>
                <a:latin typeface="Gentium Basic"/>
              </a:defRPr>
            </a:pPr>
            <a:endParaRPr lang="en-US"/>
          </a:p>
        </c:txPr>
        <c:crossAx val="900928546"/>
        <c:crosses val="autoZero"/>
        <c:auto val="1"/>
        <c:lblAlgn val="ctr"/>
        <c:lblOffset val="100"/>
        <c:noMultiLvlLbl val="1"/>
      </c:catAx>
      <c:valAx>
        <c:axId val="90092854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0780288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000000"/>
              </a:solidFill>
              <a:latin typeface="Gentium Basic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1" i="0">
                <a:solidFill>
                  <a:srgbClr val="000000"/>
                </a:solidFill>
                <a:latin typeface="Gentium Basic"/>
              </a:defRPr>
            </a:pPr>
            <a:r>
              <a:rPr lang="en-US" sz="1200" b="1" i="0">
                <a:solidFill>
                  <a:srgbClr val="000000"/>
                </a:solidFill>
                <a:latin typeface="Gentium Basic"/>
              </a:rPr>
              <a:t>instances of Static marginal impact: SDG 7.2.1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Fall in Impact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Gentium Basic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'Marginal Impacts (7.2.1)'!$A$36:$A$40</c:f>
              <c:strCache>
                <c:ptCount val="5"/>
                <c:pt idx="0">
                  <c:v>Policy Stringency</c:v>
                </c:pt>
                <c:pt idx="1">
                  <c:v>Environmental Innovation</c:v>
                </c:pt>
                <c:pt idx="2">
                  <c:v>Financial Development</c:v>
                </c:pt>
                <c:pt idx="3">
                  <c:v>Net Energy Import</c:v>
                </c:pt>
                <c:pt idx="4">
                  <c:v>Low Carbon Trade</c:v>
                </c:pt>
              </c:strCache>
            </c:strRef>
          </c:cat>
          <c:val>
            <c:numRef>
              <c:f>'Marginal Impacts (7.2.1)'!$B$36:$B$40</c:f>
              <c:numCache>
                <c:formatCode>0.00%</c:formatCode>
                <c:ptCount val="5"/>
                <c:pt idx="0">
                  <c:v>0.4</c:v>
                </c:pt>
                <c:pt idx="1">
                  <c:v>0.6333333333333333</c:v>
                </c:pt>
                <c:pt idx="2">
                  <c:v>0.16666666666666666</c:v>
                </c:pt>
                <c:pt idx="3">
                  <c:v>0.26666666666666666</c:v>
                </c:pt>
                <c:pt idx="4">
                  <c:v>0.9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041-4DF7-8215-838CB3F11A02}"/>
            </c:ext>
          </c:extLst>
        </c:ser>
        <c:ser>
          <c:idx val="1"/>
          <c:order val="1"/>
          <c:tx>
            <c:v>Rise in Impact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Gentium Basic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'Marginal Impacts (7.2.1)'!$A$36:$A$40</c:f>
              <c:strCache>
                <c:ptCount val="5"/>
                <c:pt idx="0">
                  <c:v>Policy Stringency</c:v>
                </c:pt>
                <c:pt idx="1">
                  <c:v>Environmental Innovation</c:v>
                </c:pt>
                <c:pt idx="2">
                  <c:v>Financial Development</c:v>
                </c:pt>
                <c:pt idx="3">
                  <c:v>Net Energy Import</c:v>
                </c:pt>
                <c:pt idx="4">
                  <c:v>Low Carbon Trade</c:v>
                </c:pt>
              </c:strCache>
            </c:strRef>
          </c:cat>
          <c:val>
            <c:numRef>
              <c:f>'Marginal Impacts (7.2.1)'!$C$36:$C$40</c:f>
              <c:numCache>
                <c:formatCode>0.00%</c:formatCode>
                <c:ptCount val="5"/>
                <c:pt idx="0">
                  <c:v>0.6</c:v>
                </c:pt>
                <c:pt idx="1">
                  <c:v>0.36666666666666664</c:v>
                </c:pt>
                <c:pt idx="2">
                  <c:v>0.83333333333333337</c:v>
                </c:pt>
                <c:pt idx="3">
                  <c:v>0.73333333333333328</c:v>
                </c:pt>
                <c:pt idx="4">
                  <c:v>0.1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041-4DF7-8215-838CB3F11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5479608"/>
        <c:axId val="695751286"/>
      </c:barChart>
      <c:catAx>
        <c:axId val="215479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1" i="0">
                <a:solidFill>
                  <a:srgbClr val="000000"/>
                </a:solidFill>
                <a:latin typeface="Gentium Basic"/>
              </a:defRPr>
            </a:pPr>
            <a:endParaRPr lang="en-US"/>
          </a:p>
        </c:txPr>
        <c:crossAx val="695751286"/>
        <c:crosses val="autoZero"/>
        <c:auto val="1"/>
        <c:lblAlgn val="ctr"/>
        <c:lblOffset val="100"/>
        <c:noMultiLvlLbl val="1"/>
      </c:catAx>
      <c:valAx>
        <c:axId val="69575128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5479608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000000"/>
              </a:solidFill>
              <a:latin typeface="Gentium Basic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1" i="0">
                <a:solidFill>
                  <a:srgbClr val="000000"/>
                </a:solidFill>
                <a:latin typeface="Gentium Basic"/>
              </a:defRPr>
            </a:pPr>
            <a:r>
              <a:rPr lang="en-US" sz="1200" b="1" i="0">
                <a:solidFill>
                  <a:srgbClr val="000000"/>
                </a:solidFill>
                <a:latin typeface="Gentium Basic"/>
              </a:rPr>
              <a:t>instances of Static marginal impact: SDG 7.1.2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Fall in Impact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Gentium Basic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'Marginal Impacts (7.1.2)'!$A$36:$A$40</c:f>
              <c:strCache>
                <c:ptCount val="5"/>
                <c:pt idx="0">
                  <c:v>Renewable Electricity Generation</c:v>
                </c:pt>
                <c:pt idx="1">
                  <c:v>Financial Access</c:v>
                </c:pt>
                <c:pt idx="2">
                  <c:v>Policy Stringency</c:v>
                </c:pt>
                <c:pt idx="3">
                  <c:v>Per Capita Income</c:v>
                </c:pt>
                <c:pt idx="4">
                  <c:v>Urban Population Growth</c:v>
                </c:pt>
              </c:strCache>
            </c:strRef>
          </c:cat>
          <c:val>
            <c:numRef>
              <c:f>'Marginal Impacts (7.1.2)'!$B$36:$B$40</c:f>
              <c:numCache>
                <c:formatCode>0.00%</c:formatCode>
                <c:ptCount val="5"/>
                <c:pt idx="0">
                  <c:v>0.9</c:v>
                </c:pt>
                <c:pt idx="1">
                  <c:v>0.13333333333333333</c:v>
                </c:pt>
                <c:pt idx="2">
                  <c:v>0.66666666666666663</c:v>
                </c:pt>
                <c:pt idx="3">
                  <c:v>0.83333333333333337</c:v>
                </c:pt>
                <c:pt idx="4">
                  <c:v>0.76666666666666672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9E2-4382-B290-10C7050245A1}"/>
            </c:ext>
          </c:extLst>
        </c:ser>
        <c:ser>
          <c:idx val="1"/>
          <c:order val="1"/>
          <c:tx>
            <c:v>Rise in Impact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Gentium Basic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'Marginal Impacts (7.1.2)'!$A$36:$A$40</c:f>
              <c:strCache>
                <c:ptCount val="5"/>
                <c:pt idx="0">
                  <c:v>Renewable Electricity Generation</c:v>
                </c:pt>
                <c:pt idx="1">
                  <c:v>Financial Access</c:v>
                </c:pt>
                <c:pt idx="2">
                  <c:v>Policy Stringency</c:v>
                </c:pt>
                <c:pt idx="3">
                  <c:v>Per Capita Income</c:v>
                </c:pt>
                <c:pt idx="4">
                  <c:v>Urban Population Growth</c:v>
                </c:pt>
              </c:strCache>
            </c:strRef>
          </c:cat>
          <c:val>
            <c:numRef>
              <c:f>'Marginal Impacts (7.1.2)'!$C$36:$C$40</c:f>
              <c:numCache>
                <c:formatCode>0.00%</c:formatCode>
                <c:ptCount val="5"/>
                <c:pt idx="0">
                  <c:v>0.1</c:v>
                </c:pt>
                <c:pt idx="1">
                  <c:v>0.8666666666666667</c:v>
                </c:pt>
                <c:pt idx="2">
                  <c:v>0.33333333333333331</c:v>
                </c:pt>
                <c:pt idx="3">
                  <c:v>0.16666666666666666</c:v>
                </c:pt>
                <c:pt idx="4">
                  <c:v>0.23333333333333334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9E2-4382-B290-10C705024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9966340"/>
        <c:axId val="2132498749"/>
      </c:barChart>
      <c:catAx>
        <c:axId val="17799663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1" i="0">
                <a:solidFill>
                  <a:srgbClr val="000000"/>
                </a:solidFill>
                <a:latin typeface="Gentium Basic"/>
              </a:defRPr>
            </a:pPr>
            <a:endParaRPr lang="en-US"/>
          </a:p>
        </c:txPr>
        <c:crossAx val="2132498749"/>
        <c:crosses val="autoZero"/>
        <c:auto val="1"/>
        <c:lblAlgn val="ctr"/>
        <c:lblOffset val="100"/>
        <c:noMultiLvlLbl val="1"/>
      </c:catAx>
      <c:valAx>
        <c:axId val="213249874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79966340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000000"/>
              </a:solidFill>
              <a:latin typeface="Gentium Basic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1" i="0">
                <a:solidFill>
                  <a:srgbClr val="000000"/>
                </a:solidFill>
                <a:latin typeface="Gentium Basic"/>
              </a:defRPr>
            </a:pPr>
            <a:r>
              <a:rPr lang="en-US" sz="1200" b="1" i="0">
                <a:solidFill>
                  <a:srgbClr val="000000"/>
                </a:solidFill>
                <a:latin typeface="Gentium Basic"/>
              </a:rPr>
              <a:t>instances of Static marginal impact: SDG 7.1.1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Fall in Impact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Gentium Basic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'Marginal Impacts (7.1.1)'!$A$36:$A$40</c:f>
              <c:strCache>
                <c:ptCount val="5"/>
                <c:pt idx="0">
                  <c:v>Electricity Generation</c:v>
                </c:pt>
                <c:pt idx="1">
                  <c:v>Financial Access</c:v>
                </c:pt>
                <c:pt idx="2">
                  <c:v>Rural Population Growth</c:v>
                </c:pt>
                <c:pt idx="3">
                  <c:v>Income Inequality</c:v>
                </c:pt>
                <c:pt idx="4">
                  <c:v>Health Expenditure</c:v>
                </c:pt>
              </c:strCache>
            </c:strRef>
          </c:cat>
          <c:val>
            <c:numRef>
              <c:f>'Marginal Impacts (7.1.1)'!$B$36:$B$40</c:f>
              <c:numCache>
                <c:formatCode>0.00%</c:formatCode>
                <c:ptCount val="5"/>
                <c:pt idx="0">
                  <c:v>0.76666666666666672</c:v>
                </c:pt>
                <c:pt idx="1">
                  <c:v>0.26666666666666666</c:v>
                </c:pt>
                <c:pt idx="2">
                  <c:v>0.6</c:v>
                </c:pt>
                <c:pt idx="3">
                  <c:v>0.1</c:v>
                </c:pt>
                <c:pt idx="4">
                  <c:v>0.36666666666666664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774-41D8-9314-ACDAC7417E92}"/>
            </c:ext>
          </c:extLst>
        </c:ser>
        <c:ser>
          <c:idx val="1"/>
          <c:order val="1"/>
          <c:tx>
            <c:v>Rise in Impact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Gentium Basic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'Marginal Impacts (7.1.1)'!$A$36:$A$40</c:f>
              <c:strCache>
                <c:ptCount val="5"/>
                <c:pt idx="0">
                  <c:v>Electricity Generation</c:v>
                </c:pt>
                <c:pt idx="1">
                  <c:v>Financial Access</c:v>
                </c:pt>
                <c:pt idx="2">
                  <c:v>Rural Population Growth</c:v>
                </c:pt>
                <c:pt idx="3">
                  <c:v>Income Inequality</c:v>
                </c:pt>
                <c:pt idx="4">
                  <c:v>Health Expenditure</c:v>
                </c:pt>
              </c:strCache>
            </c:strRef>
          </c:cat>
          <c:val>
            <c:numRef>
              <c:f>'Marginal Impacts (7.1.1)'!$C$36:$C$40</c:f>
              <c:numCache>
                <c:formatCode>0.00%</c:formatCode>
                <c:ptCount val="5"/>
                <c:pt idx="0">
                  <c:v>0.23333333333333334</c:v>
                </c:pt>
                <c:pt idx="1">
                  <c:v>0.73333333333333328</c:v>
                </c:pt>
                <c:pt idx="2">
                  <c:v>0.4</c:v>
                </c:pt>
                <c:pt idx="3">
                  <c:v>0.9</c:v>
                </c:pt>
                <c:pt idx="4">
                  <c:v>0.6333333333333333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774-41D8-9314-ACDAC7417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35184"/>
        <c:axId val="1554227798"/>
      </c:barChart>
      <c:catAx>
        <c:axId val="14435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1" i="0">
                <a:solidFill>
                  <a:srgbClr val="000000"/>
                </a:solidFill>
                <a:latin typeface="Gentium Basic"/>
              </a:defRPr>
            </a:pPr>
            <a:endParaRPr lang="en-US"/>
          </a:p>
        </c:txPr>
        <c:crossAx val="1554227798"/>
        <c:crosses val="autoZero"/>
        <c:auto val="1"/>
        <c:lblAlgn val="ctr"/>
        <c:lblOffset val="100"/>
        <c:noMultiLvlLbl val="1"/>
      </c:catAx>
      <c:valAx>
        <c:axId val="155422779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435184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000000"/>
              </a:solidFill>
              <a:latin typeface="Gentium Basic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257175</xdr:colOff>
      <xdr:row>3</xdr:row>
      <xdr:rowOff>66675</xdr:rowOff>
    </xdr:from>
    <xdr:ext cx="6276975" cy="3638550"/>
    <xdr:graphicFrame macro="">
      <xdr:nvGraphicFramePr>
        <xdr:cNvPr id="107473851" name="Chart 1" title="Chart">
          <a:extLst>
            <a:ext uri="{FF2B5EF4-FFF2-40B4-BE49-F238E27FC236}">
              <a16:creationId xmlns:a16="http://schemas.microsoft.com/office/drawing/2014/main" id="{00000000-0008-0000-0000-0000BBEB67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257175</xdr:colOff>
      <xdr:row>2</xdr:row>
      <xdr:rowOff>104775</xdr:rowOff>
    </xdr:from>
    <xdr:ext cx="6276975" cy="3638550"/>
    <xdr:graphicFrame macro="">
      <xdr:nvGraphicFramePr>
        <xdr:cNvPr id="1831622368" name="Chart 2">
          <a:extLst>
            <a:ext uri="{FF2B5EF4-FFF2-40B4-BE49-F238E27FC236}">
              <a16:creationId xmlns:a16="http://schemas.microsoft.com/office/drawing/2014/main" id="{00000000-0008-0000-0100-0000E0562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257175</xdr:colOff>
      <xdr:row>2</xdr:row>
      <xdr:rowOff>104775</xdr:rowOff>
    </xdr:from>
    <xdr:ext cx="6276975" cy="3638550"/>
    <xdr:graphicFrame macro="">
      <xdr:nvGraphicFramePr>
        <xdr:cNvPr id="493923668" name="Chart 3">
          <a:extLst>
            <a:ext uri="{FF2B5EF4-FFF2-40B4-BE49-F238E27FC236}">
              <a16:creationId xmlns:a16="http://schemas.microsoft.com/office/drawing/2014/main" id="{00000000-0008-0000-0200-000054AD70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257175</xdr:colOff>
      <xdr:row>2</xdr:row>
      <xdr:rowOff>104775</xdr:rowOff>
    </xdr:from>
    <xdr:ext cx="6276975" cy="3638550"/>
    <xdr:graphicFrame macro="">
      <xdr:nvGraphicFramePr>
        <xdr:cNvPr id="718048750" name="Chart 4">
          <a:extLst>
            <a:ext uri="{FF2B5EF4-FFF2-40B4-BE49-F238E27FC236}">
              <a16:creationId xmlns:a16="http://schemas.microsoft.com/office/drawing/2014/main" id="{00000000-0008-0000-0300-0000EE8DCC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4.42578125" defaultRowHeight="15" customHeight="1" x14ac:dyDescent="0.25"/>
  <cols>
    <col min="1" max="1" width="22.7109375" customWidth="1"/>
    <col min="2" max="6" width="9.140625" customWidth="1"/>
    <col min="7" max="26" width="8.7109375" customWidth="1"/>
  </cols>
  <sheetData>
    <row r="1" spans="1:26" ht="10.5" customHeight="1" x14ac:dyDescent="0.25">
      <c r="A1" s="1"/>
      <c r="B1" s="12" t="s">
        <v>0</v>
      </c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0.5" customHeight="1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0.5" customHeight="1" x14ac:dyDescent="0.25">
      <c r="A3" s="14" t="s">
        <v>6</v>
      </c>
      <c r="B3" s="2" t="str">
        <f>IF('Coefficients (7.3.1)'!C4&lt;'Coefficients (7.3.1)'!B4,"F","R")</f>
        <v>R</v>
      </c>
      <c r="C3" s="3" t="str">
        <f>IF('Coefficients (7.3.1)'!C17&lt;'Coefficients (7.3.1)'!B17,"F","R")</f>
        <v>R</v>
      </c>
      <c r="D3" s="3" t="str">
        <f>IF('Coefficients (7.3.1)'!C30&lt;'Coefficients (7.3.1)'!B30,"F","R")</f>
        <v>R</v>
      </c>
      <c r="E3" s="3" t="str">
        <f>IF('Coefficients (7.3.1)'!C43&lt;'Coefficients (7.3.1)'!B43,"F","R")</f>
        <v>R</v>
      </c>
      <c r="F3" s="4" t="str">
        <f>IF('Coefficients (7.3.1)'!C56&lt;'Coefficients (7.3.1)'!B56,"F","R")</f>
        <v>R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0.5" customHeight="1" x14ac:dyDescent="0.25">
      <c r="A4" s="13"/>
      <c r="B4" s="5" t="str">
        <f>IF('Coefficients (7.3.1)'!C6&lt;'Coefficients (7.3.1)'!B6,"F","R")</f>
        <v>R</v>
      </c>
      <c r="C4" s="1" t="str">
        <f>IF('Coefficients (7.3.1)'!C19&lt;'Coefficients (7.3.1)'!B19,"F","R")</f>
        <v>R</v>
      </c>
      <c r="D4" s="1" t="str">
        <f>IF('Coefficients (7.3.1)'!C32&lt;'Coefficients (7.3.1)'!B32,"F","R")</f>
        <v>R</v>
      </c>
      <c r="E4" s="1" t="str">
        <f>IF('Coefficients (7.3.1)'!C45&lt;'Coefficients (7.3.1)'!B45,"F","R")</f>
        <v>R</v>
      </c>
      <c r="F4" s="6" t="str">
        <f>IF('Coefficients (7.3.1)'!C58&lt;'Coefficients (7.3.1)'!B58,"F","R")</f>
        <v>R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0.5" customHeight="1" x14ac:dyDescent="0.25">
      <c r="A5" s="13"/>
      <c r="B5" s="5" t="str">
        <f>IF('Coefficients (7.3.1)'!C8&lt;'Coefficients (7.3.1)'!B8,"F","R")</f>
        <v>R</v>
      </c>
      <c r="C5" s="1" t="str">
        <f>IF('Coefficients (7.3.1)'!C21&lt;'Coefficients (7.3.1)'!B21,"F","R")</f>
        <v>F</v>
      </c>
      <c r="D5" s="1" t="str">
        <f>IF('Coefficients (7.3.1)'!C34&lt;'Coefficients (7.3.1)'!B34,"F","R")</f>
        <v>F</v>
      </c>
      <c r="E5" s="1" t="str">
        <f>IF('Coefficients (7.3.1)'!C47&lt;'Coefficients (7.3.1)'!B47,"F","R")</f>
        <v>F</v>
      </c>
      <c r="F5" s="6" t="str">
        <f>IF('Coefficients (7.3.1)'!C60&lt;'Coefficients (7.3.1)'!B60,"F","R")</f>
        <v>R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.5" customHeight="1" x14ac:dyDescent="0.25">
      <c r="A6" s="13"/>
      <c r="B6" s="5" t="str">
        <f>IF('Coefficients (7.3.1)'!C10&lt;'Coefficients (7.3.1)'!B10,"F","R")</f>
        <v>R</v>
      </c>
      <c r="C6" s="1" t="str">
        <f>IF('Coefficients (7.3.1)'!C23&lt;'Coefficients (7.3.1)'!B23,"F","R")</f>
        <v>R</v>
      </c>
      <c r="D6" s="1" t="str">
        <f>IF('Coefficients (7.3.1)'!C36&lt;'Coefficients (7.3.1)'!B36,"F","R")</f>
        <v>R</v>
      </c>
      <c r="E6" s="1" t="str">
        <f>IF('Coefficients (7.3.1)'!C49&lt;'Coefficients (7.3.1)'!B49,"F","R")</f>
        <v>R</v>
      </c>
      <c r="F6" s="6" t="str">
        <f>IF('Coefficients (7.3.1)'!C62&lt;'Coefficients (7.3.1)'!B62,"F","R")</f>
        <v>R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.5" customHeight="1" x14ac:dyDescent="0.25">
      <c r="A7" s="13"/>
      <c r="B7" s="7" t="str">
        <f>IF('Coefficients (7.3.1)'!C12&lt;'Coefficients (7.3.1)'!B12,"F","R")</f>
        <v>F</v>
      </c>
      <c r="C7" s="8" t="str">
        <f>IF('Coefficients (7.3.1)'!C25&lt;'Coefficients (7.3.1)'!B25,"F","R")</f>
        <v>F</v>
      </c>
      <c r="D7" s="8" t="str">
        <f>IF('Coefficients (7.3.1)'!C38&lt;'Coefficients (7.3.1)'!B38,"F","R")</f>
        <v>F</v>
      </c>
      <c r="E7" s="8" t="str">
        <f>IF('Coefficients (7.3.1)'!C51&lt;'Coefficients (7.3.1)'!B51,"F","R")</f>
        <v>F</v>
      </c>
      <c r="F7" s="9" t="str">
        <f>IF('Coefficients (7.3.1)'!C64&lt;'Coefficients (7.3.1)'!B64,"F","R")</f>
        <v>F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0.5" customHeight="1" x14ac:dyDescent="0.25">
      <c r="A8" s="14" t="s">
        <v>7</v>
      </c>
      <c r="B8" s="2" t="str">
        <f>IF('Coefficients (7.3.1)'!E4&lt;'Coefficients (7.3.1)'!D4,"F","R")</f>
        <v>R</v>
      </c>
      <c r="C8" s="3" t="str">
        <f>IF('Coefficients (7.3.1)'!E17&lt;'Coefficients (7.3.1)'!D17,"F","R")</f>
        <v>R</v>
      </c>
      <c r="D8" s="3" t="str">
        <f>IF('Coefficients (7.3.1)'!E30&lt;'Coefficients (7.3.1)'!D30,"F","R")</f>
        <v>F</v>
      </c>
      <c r="E8" s="3" t="str">
        <f>IF('Coefficients (7.3.1)'!E43&lt;'Coefficients (7.3.1)'!D43,"F","R")</f>
        <v>R</v>
      </c>
      <c r="F8" s="4" t="str">
        <f>IF('Coefficients (7.3.1)'!E56&lt;'Coefficients (7.3.1)'!D56,"F","R")</f>
        <v>R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0.5" customHeight="1" x14ac:dyDescent="0.25">
      <c r="A9" s="13"/>
      <c r="B9" s="5" t="str">
        <f>IF('Coefficients (7.3.1)'!E6&lt;'Coefficients (7.3.1)'!D6,"F","R")</f>
        <v>F</v>
      </c>
      <c r="C9" s="1" t="str">
        <f>IF('Coefficients (7.3.1)'!E19&lt;'Coefficients (7.3.1)'!D19,"F","R")</f>
        <v>F</v>
      </c>
      <c r="D9" s="1" t="str">
        <f>IF('Coefficients (7.3.1)'!E32&lt;'Coefficients (7.3.1)'!D32,"F","R")</f>
        <v>F</v>
      </c>
      <c r="E9" s="1" t="str">
        <f>IF('Coefficients (7.3.1)'!E45&lt;'Coefficients (7.3.1)'!D45,"F","R")</f>
        <v>F</v>
      </c>
      <c r="F9" s="6" t="str">
        <f>IF('Coefficients (7.3.1)'!E58&lt;'Coefficients (7.3.1)'!D58,"F","R")</f>
        <v>F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0.5" customHeight="1" x14ac:dyDescent="0.25">
      <c r="A10" s="13"/>
      <c r="B10" s="5" t="str">
        <f>IF('Coefficients (7.3.1)'!E8&lt;'Coefficients (7.3.1)'!D8,"F","R")</f>
        <v>F</v>
      </c>
      <c r="C10" s="1" t="str">
        <f>IF('Coefficients (7.3.1)'!E21&lt;'Coefficients (7.3.1)'!D21,"F","R")</f>
        <v>F</v>
      </c>
      <c r="D10" s="1" t="str">
        <f>IF('Coefficients (7.3.1)'!E34&lt;'Coefficients (7.3.1)'!D34,"F","R")</f>
        <v>F</v>
      </c>
      <c r="E10" s="1" t="str">
        <f>IF('Coefficients (7.3.1)'!E47&lt;'Coefficients (7.3.1)'!D47,"F","R")</f>
        <v>F</v>
      </c>
      <c r="F10" s="6" t="str">
        <f>IF('Coefficients (7.3.1)'!E60&lt;'Coefficients (7.3.1)'!D60,"F","R")</f>
        <v>F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0.5" customHeight="1" x14ac:dyDescent="0.25">
      <c r="A11" s="13"/>
      <c r="B11" s="5" t="str">
        <f>IF('Coefficients (7.3.1)'!E10&lt;'Coefficients (7.3.1)'!D10,"F","R")</f>
        <v>R</v>
      </c>
      <c r="C11" s="1" t="str">
        <f>IF('Coefficients (7.3.1)'!E23&lt;'Coefficients (7.3.1)'!D23,"F","R")</f>
        <v>R</v>
      </c>
      <c r="D11" s="1" t="str">
        <f>IF('Coefficients (7.3.1)'!E36&lt;'Coefficients (7.3.1)'!D36,"F","R")</f>
        <v>R</v>
      </c>
      <c r="E11" s="1" t="str">
        <f>IF('Coefficients (7.3.1)'!E49&lt;'Coefficients (7.3.1)'!D49,"F","R")</f>
        <v>R</v>
      </c>
      <c r="F11" s="6" t="str">
        <f>IF('Coefficients (7.3.1)'!E62&lt;'Coefficients (7.3.1)'!D62,"F","R")</f>
        <v>R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0.5" customHeight="1" x14ac:dyDescent="0.25">
      <c r="A12" s="13"/>
      <c r="B12" s="7" t="str">
        <f>IF('Coefficients (7.3.1)'!E12&lt;'Coefficients (7.3.1)'!D12,"F","R")</f>
        <v>R</v>
      </c>
      <c r="C12" s="8" t="str">
        <f>IF('Coefficients (7.3.1)'!E25&lt;'Coefficients (7.3.1)'!D25,"F","R")</f>
        <v>R</v>
      </c>
      <c r="D12" s="8" t="str">
        <f>IF('Coefficients (7.3.1)'!E38&lt;'Coefficients (7.3.1)'!D38,"F","R")</f>
        <v>R</v>
      </c>
      <c r="E12" s="8" t="str">
        <f>IF('Coefficients (7.3.1)'!E51&lt;'Coefficients (7.3.1)'!D51,"F","R")</f>
        <v>R</v>
      </c>
      <c r="F12" s="9" t="str">
        <f>IF('Coefficients (7.3.1)'!E64&lt;'Coefficients (7.3.1)'!D64,"F","R")</f>
        <v>R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0.5" customHeight="1" x14ac:dyDescent="0.25">
      <c r="A13" s="14" t="s">
        <v>8</v>
      </c>
      <c r="B13" s="2" t="str">
        <f>IF('Coefficients (7.3.1)'!G4&lt;'Coefficients (7.3.1)'!F4,"F","R")</f>
        <v>R</v>
      </c>
      <c r="C13" s="3" t="str">
        <f>IF('Coefficients (7.3.1)'!G17&lt;'Coefficients (7.3.1)'!F17,"F","R")</f>
        <v>R</v>
      </c>
      <c r="D13" s="3" t="str">
        <f>IF('Coefficients (7.3.1)'!G30&lt;'Coefficients (7.3.1)'!F30,"F","R")</f>
        <v>R</v>
      </c>
      <c r="E13" s="3" t="str">
        <f>IF('Coefficients (7.3.1)'!G43&lt;'Coefficients (7.3.1)'!F43,"F","R")</f>
        <v>R</v>
      </c>
      <c r="F13" s="4" t="str">
        <f>IF('Coefficients (7.3.1)'!G56&lt;'Coefficients (7.3.1)'!F56,"F","R")</f>
        <v>R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0.5" customHeight="1" x14ac:dyDescent="0.25">
      <c r="A14" s="13"/>
      <c r="B14" s="5" t="str">
        <f>IF('Coefficients (7.3.1)'!G6&lt;'Coefficients (7.3.1)'!F6,"F","R")</f>
        <v>R</v>
      </c>
      <c r="C14" s="1" t="str">
        <f>IF('Coefficients (7.3.1)'!G19&lt;'Coefficients (7.3.1)'!F19,"F","R")</f>
        <v>F</v>
      </c>
      <c r="D14" s="1" t="str">
        <f>IF('Coefficients (7.3.1)'!G32&lt;'Coefficients (7.3.1)'!F32,"F","R")</f>
        <v>F</v>
      </c>
      <c r="E14" s="1" t="str">
        <f>IF('Coefficients (7.3.1)'!G45&lt;'Coefficients (7.3.1)'!F45,"F","R")</f>
        <v>R</v>
      </c>
      <c r="F14" s="6" t="str">
        <f>IF('Coefficients (7.3.1)'!G58&lt;'Coefficients (7.3.1)'!F58,"F","R")</f>
        <v>R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0.5" customHeight="1" x14ac:dyDescent="0.25">
      <c r="A15" s="13"/>
      <c r="B15" s="5" t="str">
        <f>IF('Coefficients (7.3.1)'!G8&lt;'Coefficients (7.3.1)'!F8,"F","R")</f>
        <v>F</v>
      </c>
      <c r="C15" s="1" t="str">
        <f>IF('Coefficients (7.3.1)'!G21&lt;'Coefficients (7.3.1)'!F21,"F","R")</f>
        <v>F</v>
      </c>
      <c r="D15" s="1" t="str">
        <f>IF('Coefficients (7.3.1)'!G34&lt;'Coefficients (7.3.1)'!F34,"F","R")</f>
        <v>F</v>
      </c>
      <c r="E15" s="1" t="str">
        <f>IF('Coefficients (7.3.1)'!G47&lt;'Coefficients (7.3.1)'!F47,"F","R")</f>
        <v>F</v>
      </c>
      <c r="F15" s="6" t="str">
        <f>IF('Coefficients (7.3.1)'!G60&lt;'Coefficients (7.3.1)'!F60,"F","R")</f>
        <v>R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0.5" customHeight="1" x14ac:dyDescent="0.25">
      <c r="A16" s="13"/>
      <c r="B16" s="5" t="str">
        <f>IF('Coefficients (7.3.1)'!G10&lt;'Coefficients (7.3.1)'!F10,"F","R")</f>
        <v>R</v>
      </c>
      <c r="C16" s="1" t="str">
        <f>IF('Coefficients (7.3.1)'!G23&lt;'Coefficients (7.3.1)'!F23,"F","R")</f>
        <v>R</v>
      </c>
      <c r="D16" s="1" t="str">
        <f>IF('Coefficients (7.3.1)'!G36&lt;'Coefficients (7.3.1)'!F36,"F","R")</f>
        <v>R</v>
      </c>
      <c r="E16" s="1" t="str">
        <f>IF('Coefficients (7.3.1)'!G49&lt;'Coefficients (7.3.1)'!F49,"F","R")</f>
        <v>R</v>
      </c>
      <c r="F16" s="6" t="str">
        <f>IF('Coefficients (7.3.1)'!G62&lt;'Coefficients (7.3.1)'!F62,"F","R")</f>
        <v>R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0.5" customHeight="1" x14ac:dyDescent="0.25">
      <c r="A17" s="13"/>
      <c r="B17" s="7" t="str">
        <f>IF('Coefficients (7.3.1)'!G12&lt;'Coefficients (7.3.1)'!F12,"F","R")</f>
        <v>F</v>
      </c>
      <c r="C17" s="8" t="str">
        <f>IF('Coefficients (7.3.1)'!G25&lt;'Coefficients (7.3.1)'!F25,"F","R")</f>
        <v>F</v>
      </c>
      <c r="D17" s="8" t="str">
        <f>IF('Coefficients (7.3.1)'!G38&lt;'Coefficients (7.3.1)'!F38,"F","R")</f>
        <v>F</v>
      </c>
      <c r="E17" s="8" t="str">
        <f>IF('Coefficients (7.3.1)'!G51&lt;'Coefficients (7.3.1)'!F51,"F","R")</f>
        <v>F</v>
      </c>
      <c r="F17" s="9" t="str">
        <f>IF('Coefficients (7.3.1)'!G64&lt;'Coefficients (7.3.1)'!F64,"F","R")</f>
        <v>F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0.5" customHeight="1" x14ac:dyDescent="0.25">
      <c r="A18" s="14" t="s">
        <v>9</v>
      </c>
      <c r="B18" s="2" t="str">
        <f>IF('Coefficients (7.3.1)'!I4&lt;'Coefficients (7.3.1)'!H4,"F","R")</f>
        <v>R</v>
      </c>
      <c r="C18" s="3" t="str">
        <f>IF('Coefficients (7.3.1)'!I17&lt;'Coefficients (7.3.1)'!H17,"F","R")</f>
        <v>R</v>
      </c>
      <c r="D18" s="3" t="str">
        <f>IF('Coefficients (7.3.1)'!I30&lt;'Coefficients (7.3.1)'!H30,"F","R")</f>
        <v>R</v>
      </c>
      <c r="E18" s="3" t="str">
        <f>IF('Coefficients (7.3.1)'!I43&lt;'Coefficients (7.3.1)'!H43,"F","R")</f>
        <v>R</v>
      </c>
      <c r="F18" s="4" t="str">
        <f>IF('Coefficients (7.3.1)'!I56&lt;'Coefficients (7.3.1)'!H56,"F","R")</f>
        <v>R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0.5" customHeight="1" x14ac:dyDescent="0.25">
      <c r="A19" s="13"/>
      <c r="B19" s="5" t="str">
        <f>IF('Coefficients (7.3.1)'!I6&lt;'Coefficients (7.3.1)'!H6,"F","R")</f>
        <v>R</v>
      </c>
      <c r="C19" s="1" t="str">
        <f>IF('Coefficients (7.3.1)'!I19&lt;'Coefficients (7.3.1)'!H19,"F","R")</f>
        <v>F</v>
      </c>
      <c r="D19" s="1" t="str">
        <f>IF('Coefficients (7.3.1)'!I32&lt;'Coefficients (7.3.1)'!H32,"F","R")</f>
        <v>F</v>
      </c>
      <c r="E19" s="1" t="str">
        <f>IF('Coefficients (7.3.1)'!I45&lt;'Coefficients (7.3.1)'!H45,"F","R")</f>
        <v>R</v>
      </c>
      <c r="F19" s="6" t="str">
        <f>IF('Coefficients (7.3.1)'!I58&lt;'Coefficients (7.3.1)'!H58,"F","R")</f>
        <v>R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0.5" customHeight="1" x14ac:dyDescent="0.25">
      <c r="A20" s="13"/>
      <c r="B20" s="5" t="str">
        <f>IF('Coefficients (7.3.1)'!I8&lt;'Coefficients (7.3.1)'!H8,"F","R")</f>
        <v>R</v>
      </c>
      <c r="C20" s="1" t="str">
        <f>IF('Coefficients (7.3.1)'!I21&lt;'Coefficients (7.3.1)'!H21,"F","R")</f>
        <v>F</v>
      </c>
      <c r="D20" s="1" t="str">
        <f>IF('Coefficients (7.3.1)'!I34&lt;'Coefficients (7.3.1)'!H34,"F","R")</f>
        <v>F</v>
      </c>
      <c r="E20" s="1" t="str">
        <f>IF('Coefficients (7.3.1)'!I47&lt;'Coefficients (7.3.1)'!H47,"F","R")</f>
        <v>F</v>
      </c>
      <c r="F20" s="6" t="str">
        <f>IF('Coefficients (7.3.1)'!I60&lt;'Coefficients (7.3.1)'!H60,"F","R")</f>
        <v>F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0.5" customHeight="1" x14ac:dyDescent="0.25">
      <c r="A21" s="13"/>
      <c r="B21" s="5" t="str">
        <f>IF('Coefficients (7.3.1)'!I10&lt;'Coefficients (7.3.1)'!H10,"F","R")</f>
        <v>R</v>
      </c>
      <c r="C21" s="1" t="str">
        <f>IF('Coefficients (7.3.1)'!I23&lt;'Coefficients (7.3.1)'!H23,"F","R")</f>
        <v>R</v>
      </c>
      <c r="D21" s="1" t="str">
        <f>IF('Coefficients (7.3.1)'!I36&lt;'Coefficients (7.3.1)'!H36,"F","R")</f>
        <v>R</v>
      </c>
      <c r="E21" s="1" t="str">
        <f>IF('Coefficients (7.3.1)'!I49&lt;'Coefficients (7.3.1)'!H49,"F","R")</f>
        <v>R</v>
      </c>
      <c r="F21" s="6" t="str">
        <f>IF('Coefficients (7.3.1)'!I62&lt;'Coefficients (7.3.1)'!H62,"F","R")</f>
        <v>R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0.5" customHeight="1" x14ac:dyDescent="0.25">
      <c r="A22" s="13"/>
      <c r="B22" s="7" t="str">
        <f>IF('Coefficients (7.3.1)'!I12&lt;'Coefficients (7.3.1)'!H12,"F","R")</f>
        <v>F</v>
      </c>
      <c r="C22" s="8" t="str">
        <f>IF('Coefficients (7.3.1)'!I25&lt;'Coefficients (7.3.1)'!H25,"F","R")</f>
        <v>F</v>
      </c>
      <c r="D22" s="8" t="str">
        <f>IF('Coefficients (7.3.1)'!I38&lt;'Coefficients (7.3.1)'!H38,"F","R")</f>
        <v>F</v>
      </c>
      <c r="E22" s="8" t="str">
        <f>IF('Coefficients (7.3.1)'!I51&lt;'Coefficients (7.3.1)'!H51,"F","R")</f>
        <v>F</v>
      </c>
      <c r="F22" s="9" t="str">
        <f>IF('Coefficients (7.3.1)'!I64&lt;'Coefficients (7.3.1)'!H64,"F","R")</f>
        <v>F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0.5" customHeight="1" x14ac:dyDescent="0.25">
      <c r="A23" s="14" t="s">
        <v>10</v>
      </c>
      <c r="B23" s="2" t="str">
        <f>IF('Coefficients (7.3.1)'!K4&lt;'Coefficients (7.3.1)'!J4,"F","R")</f>
        <v>R</v>
      </c>
      <c r="C23" s="3" t="str">
        <f>IF('Coefficients (7.3.1)'!K17&lt;'Coefficients (7.3.1)'!J17,"F","R")</f>
        <v>R</v>
      </c>
      <c r="D23" s="3" t="str">
        <f>IF('Coefficients (7.3.1)'!K30&lt;'Coefficients (7.3.1)'!J30,"F","R")</f>
        <v>R</v>
      </c>
      <c r="E23" s="3" t="str">
        <f>IF('Coefficients (7.3.1)'!K43&lt;'Coefficients (7.3.1)'!J43,"F","R")</f>
        <v>R</v>
      </c>
      <c r="F23" s="4" t="str">
        <f>IF('Coefficients (7.3.1)'!K56&lt;'Coefficients (7.3.1)'!J56,"F","R")</f>
        <v>R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0.5" customHeight="1" x14ac:dyDescent="0.25">
      <c r="A24" s="13"/>
      <c r="B24" s="5" t="str">
        <f>IF('Coefficients (7.3.1)'!K6&lt;'Coefficients (7.3.1)'!J6,"F","R")</f>
        <v>R</v>
      </c>
      <c r="C24" s="1" t="str">
        <f>IF('Coefficients (7.3.1)'!K19&lt;'Coefficients (7.3.1)'!J19,"F","R")</f>
        <v>F</v>
      </c>
      <c r="D24" s="1" t="str">
        <f>IF('Coefficients (7.3.1)'!K32&lt;'Coefficients (7.3.1)'!J32,"F","R")</f>
        <v>F</v>
      </c>
      <c r="E24" s="1" t="str">
        <f>IF('Coefficients (7.3.1)'!K45&lt;'Coefficients (7.3.1)'!J45,"F","R")</f>
        <v>R</v>
      </c>
      <c r="F24" s="6" t="str">
        <f>IF('Coefficients (7.3.1)'!K58&lt;'Coefficients (7.3.1)'!J58,"F","R")</f>
        <v>R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0.5" customHeight="1" x14ac:dyDescent="0.25">
      <c r="A25" s="13"/>
      <c r="B25" s="5" t="str">
        <f>IF('Coefficients (7.3.1)'!K8&lt;'Coefficients (7.3.1)'!J8,"F","R")</f>
        <v>F</v>
      </c>
      <c r="C25" s="1" t="str">
        <f>IF('Coefficients (7.3.1)'!K21&lt;'Coefficients (7.3.1)'!J21,"F","R")</f>
        <v>F</v>
      </c>
      <c r="D25" s="1" t="str">
        <f>IF('Coefficients (7.3.1)'!K34&lt;'Coefficients (7.3.1)'!J34,"F","R")</f>
        <v>F</v>
      </c>
      <c r="E25" s="1" t="str">
        <f>IF('Coefficients (7.3.1)'!K47&lt;'Coefficients (7.3.1)'!J47,"F","R")</f>
        <v>F</v>
      </c>
      <c r="F25" s="6" t="str">
        <f>IF('Coefficients (7.3.1)'!K60&lt;'Coefficients (7.3.1)'!J60,"F","R")</f>
        <v>F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0.5" customHeight="1" x14ac:dyDescent="0.25">
      <c r="A26" s="13"/>
      <c r="B26" s="5" t="str">
        <f>IF('Coefficients (7.3.1)'!K10&lt;'Coefficients (7.3.1)'!J10,"F","R")</f>
        <v>R</v>
      </c>
      <c r="C26" s="1" t="str">
        <f>IF('Coefficients (7.3.1)'!K23&lt;'Coefficients (7.3.1)'!J23,"F","R")</f>
        <v>F</v>
      </c>
      <c r="D26" s="1" t="str">
        <f>IF('Coefficients (7.3.1)'!K36&lt;'Coefficients (7.3.1)'!J36,"F","R")</f>
        <v>R</v>
      </c>
      <c r="E26" s="1" t="str">
        <f>IF('Coefficients (7.3.1)'!K49&lt;'Coefficients (7.3.1)'!J49,"F","R")</f>
        <v>R</v>
      </c>
      <c r="F26" s="6" t="str">
        <f>IF('Coefficients (7.3.1)'!K62&lt;'Coefficients (7.3.1)'!J62,"F","R")</f>
        <v>R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0.5" customHeight="1" x14ac:dyDescent="0.25">
      <c r="A27" s="13"/>
      <c r="B27" s="7" t="str">
        <f>IF('Coefficients (7.3.1)'!K12&lt;'Coefficients (7.3.1)'!J12,"F","R")</f>
        <v>R</v>
      </c>
      <c r="C27" s="8" t="str">
        <f>IF('Coefficients (7.3.1)'!K25&lt;'Coefficients (7.3.1)'!J25,"F","R")</f>
        <v>R</v>
      </c>
      <c r="D27" s="8" t="str">
        <f>IF('Coefficients (7.3.1)'!K38&lt;'Coefficients (7.3.1)'!J38,"F","R")</f>
        <v>R</v>
      </c>
      <c r="E27" s="8" t="str">
        <f>IF('Coefficients (7.3.1)'!K51&lt;'Coefficients (7.3.1)'!J51,"F","R")</f>
        <v>F</v>
      </c>
      <c r="F27" s="9" t="str">
        <f>IF('Coefficients (7.3.1)'!K64&lt;'Coefficients (7.3.1)'!J64,"F","R")</f>
        <v>F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0.5" customHeight="1" x14ac:dyDescent="0.25">
      <c r="A28" s="14" t="s">
        <v>11</v>
      </c>
      <c r="B28" s="2" t="str">
        <f>IF('Coefficients (7.3.1)'!M4&lt;'Coefficients (7.3.1)'!L4,"F","R")</f>
        <v>F</v>
      </c>
      <c r="C28" s="3" t="str">
        <f>IF('Coefficients (7.3.1)'!M17&lt;'Coefficients (7.3.1)'!L17,"F","R")</f>
        <v>R</v>
      </c>
      <c r="D28" s="3" t="str">
        <f>IF('Coefficients (7.3.1)'!M30&lt;'Coefficients (7.3.1)'!L30,"F","R")</f>
        <v>F</v>
      </c>
      <c r="E28" s="3" t="str">
        <f>IF('Coefficients (7.3.1)'!M43&lt;'Coefficients (7.3.1)'!L43,"F","R")</f>
        <v>F</v>
      </c>
      <c r="F28" s="4" t="str">
        <f>IF('Coefficients (7.3.1)'!M56&lt;'Coefficients (7.3.1)'!L56,"F","R")</f>
        <v>F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0.5" customHeight="1" x14ac:dyDescent="0.25">
      <c r="A29" s="13"/>
      <c r="B29" s="5" t="str">
        <f>IF('Coefficients (7.3.1)'!M6&lt;'Coefficients (7.3.1)'!L6,"F","R")</f>
        <v>R</v>
      </c>
      <c r="C29" s="1" t="str">
        <f>IF('Coefficients (7.3.1)'!M19&lt;'Coefficients (7.3.1)'!L19,"F","R")</f>
        <v>R</v>
      </c>
      <c r="D29" s="1" t="str">
        <f>IF('Coefficients (7.3.1)'!M32&lt;'Coefficients (7.3.1)'!L32,"F","R")</f>
        <v>F</v>
      </c>
      <c r="E29" s="1" t="str">
        <f>IF('Coefficients (7.3.1)'!M45&lt;'Coefficients (7.3.1)'!L45,"F","R")</f>
        <v>F</v>
      </c>
      <c r="F29" s="6" t="str">
        <f>IF('Coefficients (7.3.1)'!M58&lt;'Coefficients (7.3.1)'!L58,"F","R")</f>
        <v>F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0.5" customHeight="1" x14ac:dyDescent="0.25">
      <c r="A30" s="13"/>
      <c r="B30" s="5" t="str">
        <f>IF('Coefficients (7.3.1)'!M8&lt;'Coefficients (7.3.1)'!L8,"F","R")</f>
        <v>R</v>
      </c>
      <c r="C30" s="1" t="str">
        <f>IF('Coefficients (7.3.1)'!M21&lt;'Coefficients (7.3.1)'!L21,"F","R")</f>
        <v>R</v>
      </c>
      <c r="D30" s="1" t="str">
        <f>IF('Coefficients (7.3.1)'!M34&lt;'Coefficients (7.3.1)'!L34,"F","R")</f>
        <v>F</v>
      </c>
      <c r="E30" s="1" t="str">
        <f>IF('Coefficients (7.3.1)'!M47&lt;'Coefficients (7.3.1)'!L47,"F","R")</f>
        <v>R</v>
      </c>
      <c r="F30" s="6" t="str">
        <f>IF('Coefficients (7.3.1)'!M60&lt;'Coefficients (7.3.1)'!L60,"F","R")</f>
        <v>F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0.5" customHeight="1" x14ac:dyDescent="0.25">
      <c r="A31" s="13"/>
      <c r="B31" s="5" t="str">
        <f>IF('Coefficients (7.3.1)'!M10&lt;'Coefficients (7.3.1)'!L10,"F","R")</f>
        <v>R</v>
      </c>
      <c r="C31" s="1" t="str">
        <f>IF('Coefficients (7.3.1)'!M23&lt;'Coefficients (7.3.1)'!L23,"F","R")</f>
        <v>R</v>
      </c>
      <c r="D31" s="1" t="str">
        <f>IF('Coefficients (7.3.1)'!M36&lt;'Coefficients (7.3.1)'!L36,"F","R")</f>
        <v>R</v>
      </c>
      <c r="E31" s="1" t="str">
        <f>IF('Coefficients (7.3.1)'!M49&lt;'Coefficients (7.3.1)'!L49,"F","R")</f>
        <v>R</v>
      </c>
      <c r="F31" s="6" t="str">
        <f>IF('Coefficients (7.3.1)'!M62&lt;'Coefficients (7.3.1)'!L62,"F","R")</f>
        <v>R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0.5" customHeight="1" x14ac:dyDescent="0.25">
      <c r="A32" s="13"/>
      <c r="B32" s="7" t="str">
        <f>IF('Coefficients (7.3.1)'!M12&lt;'Coefficients (7.3.1)'!L12,"F","R")</f>
        <v>R</v>
      </c>
      <c r="C32" s="8" t="str">
        <f>IF('Coefficients (7.3.1)'!M25&lt;'Coefficients (7.3.1)'!L25,"F","R")</f>
        <v>F</v>
      </c>
      <c r="D32" s="8" t="str">
        <f>IF('Coefficients (7.3.1)'!M38&lt;'Coefficients (7.3.1)'!L38,"F","R")</f>
        <v>R</v>
      </c>
      <c r="E32" s="8" t="str">
        <f>IF('Coefficients (7.3.1)'!M51&lt;'Coefficients (7.3.1)'!L51,"F","R")</f>
        <v>R</v>
      </c>
      <c r="F32" s="9" t="str">
        <f>IF('Coefficients (7.3.1)'!M64&lt;'Coefficients (7.3.1)'!L64,"F","R")</f>
        <v>R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0.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0.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0.5" customHeight="1" x14ac:dyDescent="0.25">
      <c r="A35" s="1"/>
      <c r="B35" s="1" t="s">
        <v>12</v>
      </c>
      <c r="C35" s="1" t="s">
        <v>13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0.5" customHeight="1" x14ac:dyDescent="0.25">
      <c r="A36" s="1" t="s">
        <v>14</v>
      </c>
      <c r="B36" s="10">
        <f t="shared" ref="B36:B40" si="0">(COUNTIF(B3:F3,"F")+COUNTIF(B8:F8,"F")+COUNTIF(B13:F13,"F")+COUNTIF(B18:F18,"F")+COUNTIF(B23:F23,"F")+COUNTIF(B28:F28,"F"))/30</f>
        <v>0.16666666666666666</v>
      </c>
      <c r="C36" s="10">
        <f t="shared" ref="C36:C40" si="1">(COUNTIF(B3:F3,"R")+COUNTIF(B8:F8,"R")+COUNTIF(B13:F13,"R")+COUNTIF(B18:F18,"R")+COUNTIF(B23:F23,"R")+COUNTIF(B28:F28,"R"))/30</f>
        <v>0.83333333333333337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0.5" customHeight="1" x14ac:dyDescent="0.25">
      <c r="A37" s="1" t="s">
        <v>15</v>
      </c>
      <c r="B37" s="10">
        <f t="shared" si="0"/>
        <v>0.46666666666666667</v>
      </c>
      <c r="C37" s="10">
        <f t="shared" si="1"/>
        <v>0.53333333333333333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0.5" customHeight="1" x14ac:dyDescent="0.25">
      <c r="A38" s="1" t="s">
        <v>16</v>
      </c>
      <c r="B38" s="10">
        <f t="shared" si="0"/>
        <v>0.76666666666666672</v>
      </c>
      <c r="C38" s="10">
        <f t="shared" si="1"/>
        <v>0.23333333333333334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0.5" customHeight="1" x14ac:dyDescent="0.25">
      <c r="A39" s="1" t="s">
        <v>17</v>
      </c>
      <c r="B39" s="10">
        <f t="shared" si="0"/>
        <v>3.3333333333333333E-2</v>
      </c>
      <c r="C39" s="10">
        <f t="shared" si="1"/>
        <v>0.96666666666666667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0.5" customHeight="1" x14ac:dyDescent="0.25">
      <c r="A40" s="1" t="s">
        <v>18</v>
      </c>
      <c r="B40" s="10">
        <f t="shared" si="0"/>
        <v>0.6</v>
      </c>
      <c r="C40" s="10">
        <f t="shared" si="1"/>
        <v>0.4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0.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0.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0.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0.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0.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0.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0.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0.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0.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0.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0.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0.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0.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0.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0.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0.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0.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0.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0.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0.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0.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0.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0.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0.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0.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0.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0.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0.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0.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0.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0.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0.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0.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0.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0.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0.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0.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0.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0.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0.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0.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0.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0.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0.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0.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0.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0.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0.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0.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0.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0.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0.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0.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0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0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0.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0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0.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0.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0.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0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0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0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0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0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0.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0.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0.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0.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0.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0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0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0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0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0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0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0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0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0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0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0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0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0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0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0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0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0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0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0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0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0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0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0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0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0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0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0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0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0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0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0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0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0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0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0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0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0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0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0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0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0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0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0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0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0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0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0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0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0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0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0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0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0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0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0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0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0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0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0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0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0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0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0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0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0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0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0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0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0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0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0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0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0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0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0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0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0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0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0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0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0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0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0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0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0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0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0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0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0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0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0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0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0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0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0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0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0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0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0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0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0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0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0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0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0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0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0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0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0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0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0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0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0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0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0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0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0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0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0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0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0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0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0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0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0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0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0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0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0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0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0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0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0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0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0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0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0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0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0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0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0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0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0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0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0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0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0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0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0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0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0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0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0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0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0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0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0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0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0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0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0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0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0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0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0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0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0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0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0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0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0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0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0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0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0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0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0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0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0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0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0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0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0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0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0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0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0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0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0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0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0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0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0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0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0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0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0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0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0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0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0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0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0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0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0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0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0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0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0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0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0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0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0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0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0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0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0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0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0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0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0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0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0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0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0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0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0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0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0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0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0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0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0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0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0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0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0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0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0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0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0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0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0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0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0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0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0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0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0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0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0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0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0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0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0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0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0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0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0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0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0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0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0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0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0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0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0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0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0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0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0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0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0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0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0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0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0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0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0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0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0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0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0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0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0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0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0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0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0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0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0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0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0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0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0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0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0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0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0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0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0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0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0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0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0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0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0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0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0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0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0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0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0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0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0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0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0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0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0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0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0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0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0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0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0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0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0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0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0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0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0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0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0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0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0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0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0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0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0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0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0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0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0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0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0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0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0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0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0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0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0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0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0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0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0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0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0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0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0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0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0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0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0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0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0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0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0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0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0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0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0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0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0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0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0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0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0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0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0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0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0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0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0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0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0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0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0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0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0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0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0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0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0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0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0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0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0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0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0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0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0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0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0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0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0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0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0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0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0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0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0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0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0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0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0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0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0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0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0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0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0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0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0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0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0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0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0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0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0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0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0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0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0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0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0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0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0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0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0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0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0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0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0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0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0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0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0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0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0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0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0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0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0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0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0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0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0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0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0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0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0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0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0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0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0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0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0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0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0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0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0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0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0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0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0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0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0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0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0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0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0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0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0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0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0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0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0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0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0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0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0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0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0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0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0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0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0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0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0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0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0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0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0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0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0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0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0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0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0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0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0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0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0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0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0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0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0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0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0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0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0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0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0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0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0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0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0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0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0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0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0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0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0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0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0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0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0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0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0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0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0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0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0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0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0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0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0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0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0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0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0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0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0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0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0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0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0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0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0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0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0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0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0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0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0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0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0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0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0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0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0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0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0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0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0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0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0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0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0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0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0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0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0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0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0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0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0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0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0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0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0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0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0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0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0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0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0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0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0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0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0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0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0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0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0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0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0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0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0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0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0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0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0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0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0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0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0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0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0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0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0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0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0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0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0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0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0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0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0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0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0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0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0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0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0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0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0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0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0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0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0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0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0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0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0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0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0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0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0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0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0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0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0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0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0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0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0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0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0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0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0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0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0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0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0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0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0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0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0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0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0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0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0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0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0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0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0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0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0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0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0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0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0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0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0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0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0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0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0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0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0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0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0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0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0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0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0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0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0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0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0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0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0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0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0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0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0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0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0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0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0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0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0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0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0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0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0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0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0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0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0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0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0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0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0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0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0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0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0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0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0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0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0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0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0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0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0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0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0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0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0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0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0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0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0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0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0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0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0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0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0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0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0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0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0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0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0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0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0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0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0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0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0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0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0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0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0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0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0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0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0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0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0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0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0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0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0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0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0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0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0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0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0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0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0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0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0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0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0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0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0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0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0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0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0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0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0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0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0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0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0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0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0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0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0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0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0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0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0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0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0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0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0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0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0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0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0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0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0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0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0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0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0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0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0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0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0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0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0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0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0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0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0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0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0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0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0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0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0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0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0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0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0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0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0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0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0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0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0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0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0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0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0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0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0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0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0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0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0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0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0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0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0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0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0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0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0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0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0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0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0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0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0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0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0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0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0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0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0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0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0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0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0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0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0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0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0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0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0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0.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A23:A27"/>
    <mergeCell ref="A28:A32"/>
    <mergeCell ref="B1:F1"/>
    <mergeCell ref="A3:A7"/>
    <mergeCell ref="A8:A12"/>
    <mergeCell ref="A13:A17"/>
    <mergeCell ref="A18:A22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 x14ac:dyDescent="0.25"/>
  <cols>
    <col min="1" max="1" width="22.42578125" customWidth="1"/>
    <col min="2" max="6" width="9.140625" customWidth="1"/>
    <col min="7" max="26" width="8.7109375" customWidth="1"/>
  </cols>
  <sheetData>
    <row r="1" spans="1:26" ht="10.5" customHeight="1" x14ac:dyDescent="0.25">
      <c r="A1" s="1"/>
      <c r="B1" s="12" t="s">
        <v>19</v>
      </c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0.5" customHeight="1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0.5" customHeight="1" x14ac:dyDescent="0.25">
      <c r="A3" s="14" t="s">
        <v>6</v>
      </c>
      <c r="B3" s="2" t="str">
        <f>IF('Coefficients (7.2.1)'!C4&lt;'Coefficients (7.2.1)'!B4,"F","R")</f>
        <v>R</v>
      </c>
      <c r="C3" s="3" t="str">
        <f>IF('Coefficients (7.2.1)'!C17&lt;'Coefficients (7.2.1)'!B17,"F","R")</f>
        <v>R</v>
      </c>
      <c r="D3" s="3" t="str">
        <f>IF('Coefficients (7.2.1)'!C30&lt;'Coefficients (7.2.1)'!B30,"F","R")</f>
        <v>F</v>
      </c>
      <c r="E3" s="3" t="str">
        <f>IF('Coefficients (7.2.1)'!C43&lt;'Coefficients (7.2.1)'!B43,"F","R")</f>
        <v>F</v>
      </c>
      <c r="F3" s="4" t="str">
        <f>IF('Coefficients (7.2.1)'!C56&lt;'Coefficients (7.2.1)'!B56,"F","R")</f>
        <v>R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0.5" customHeight="1" x14ac:dyDescent="0.25">
      <c r="A4" s="13"/>
      <c r="B4" s="5" t="str">
        <f>IF('Coefficients (7.2.1)'!C6&lt;'Coefficients (7.2.1)'!B6,"F","R")</f>
        <v>F</v>
      </c>
      <c r="C4" s="1" t="str">
        <f>IF('Coefficients (7.2.1)'!C19&lt;'Coefficients (7.2.1)'!B19,"F","R")</f>
        <v>F</v>
      </c>
      <c r="D4" s="1" t="str">
        <f>IF('Coefficients (7.2.1)'!C32&lt;'Coefficients (7.2.1)'!B32,"F","R")</f>
        <v>F</v>
      </c>
      <c r="E4" s="1" t="str">
        <f>IF('Coefficients (7.2.1)'!C45&lt;'Coefficients (7.2.1)'!B45,"F","R")</f>
        <v>F</v>
      </c>
      <c r="F4" s="6" t="str">
        <f>IF('Coefficients (7.2.1)'!C58&lt;'Coefficients (7.2.1)'!B58,"F","R")</f>
        <v>F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0.5" customHeight="1" x14ac:dyDescent="0.25">
      <c r="A5" s="13"/>
      <c r="B5" s="5" t="str">
        <f>IF('Coefficients (7.2.1)'!C8&lt;'Coefficients (7.2.1)'!B8,"F","R")</f>
        <v>F</v>
      </c>
      <c r="C5" s="1" t="str">
        <f>IF('Coefficients (7.2.1)'!C21&lt;'Coefficients (7.2.1)'!B21,"F","R")</f>
        <v>R</v>
      </c>
      <c r="D5" s="1" t="str">
        <f>IF('Coefficients (7.2.1)'!C34&lt;'Coefficients (7.2.1)'!B34,"F","R")</f>
        <v>R</v>
      </c>
      <c r="E5" s="1" t="str">
        <f>IF('Coefficients (7.2.1)'!C47&lt;'Coefficients (7.2.1)'!B47,"F","R")</f>
        <v>R</v>
      </c>
      <c r="F5" s="6" t="str">
        <f>IF('Coefficients (7.2.1)'!C60&lt;'Coefficients (7.2.1)'!B60,"F","R")</f>
        <v>R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.5" customHeight="1" x14ac:dyDescent="0.25">
      <c r="A6" s="13"/>
      <c r="B6" s="5" t="str">
        <f>IF('Coefficients (7.2.1)'!C10&lt;'Coefficients (7.2.1)'!B10,"F","R")</f>
        <v>R</v>
      </c>
      <c r="C6" s="1" t="str">
        <f>IF('Coefficients (7.2.1)'!C23&lt;'Coefficients (7.2.1)'!B23,"F","R")</f>
        <v>R</v>
      </c>
      <c r="D6" s="1" t="str">
        <f>IF('Coefficients (7.2.1)'!C36&lt;'Coefficients (7.2.1)'!B36,"F","R")</f>
        <v>R</v>
      </c>
      <c r="E6" s="1" t="str">
        <f>IF('Coefficients (7.2.1)'!C49&lt;'Coefficients (7.2.1)'!B49,"F","R")</f>
        <v>R</v>
      </c>
      <c r="F6" s="6" t="str">
        <f>IF('Coefficients (7.2.1)'!C62&lt;'Coefficients (7.2.1)'!B62,"F","R")</f>
        <v>R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.5" customHeight="1" x14ac:dyDescent="0.25">
      <c r="A7" s="13"/>
      <c r="B7" s="7" t="str">
        <f>IF('Coefficients (7.2.1)'!C12&lt;'Coefficients (7.2.1)'!B12,"F","R")</f>
        <v>F</v>
      </c>
      <c r="C7" s="8" t="str">
        <f>IF('Coefficients (7.2.1)'!C25&lt;'Coefficients (7.2.1)'!B25,"F","R")</f>
        <v>F</v>
      </c>
      <c r="D7" s="8" t="str">
        <f>IF('Coefficients (7.2.1)'!C38&lt;'Coefficients (7.2.1)'!B38,"F","R")</f>
        <v>F</v>
      </c>
      <c r="E7" s="8" t="str">
        <f>IF('Coefficients (7.2.1)'!C51&lt;'Coefficients (7.2.1)'!B51,"F","R")</f>
        <v>F</v>
      </c>
      <c r="F7" s="9" t="str">
        <f>IF('Coefficients (7.2.1)'!C64&lt;'Coefficients (7.2.1)'!B64,"F","R")</f>
        <v>F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0.5" customHeight="1" x14ac:dyDescent="0.25">
      <c r="A8" s="14" t="s">
        <v>7</v>
      </c>
      <c r="B8" s="2" t="str">
        <f>IF('Coefficients (7.2.1)'!E4&lt;'Coefficients (7.2.1)'!D4,"F","R")</f>
        <v>R</v>
      </c>
      <c r="C8" s="3" t="str">
        <f>IF('Coefficients (7.2.1)'!E17&lt;'Coefficients (7.2.1)'!D17,"F","R")</f>
        <v>R</v>
      </c>
      <c r="D8" s="3" t="str">
        <f>IF('Coefficients (7.2.1)'!E30&lt;'Coefficients (7.2.1)'!D30,"F","R")</f>
        <v>R</v>
      </c>
      <c r="E8" s="3" t="str">
        <f>IF('Coefficients (7.2.1)'!E43&lt;'Coefficients (7.2.1)'!D43,"F","R")</f>
        <v>R</v>
      </c>
      <c r="F8" s="4" t="str">
        <f>IF('Coefficients (7.2.1)'!E56&lt;'Coefficients (7.2.1)'!D56,"F","R")</f>
        <v>R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0.5" customHeight="1" x14ac:dyDescent="0.25">
      <c r="A9" s="13"/>
      <c r="B9" s="5" t="str">
        <f>IF('Coefficients (7.2.1)'!E6&lt;'Coefficients (7.2.1)'!D6,"F","R")</f>
        <v>R</v>
      </c>
      <c r="C9" s="1" t="str">
        <f>IF('Coefficients (7.2.1)'!E19&lt;'Coefficients (7.2.1)'!D19,"F","R")</f>
        <v>R</v>
      </c>
      <c r="D9" s="1" t="str">
        <f>IF('Coefficients (7.2.1)'!E32&lt;'Coefficients (7.2.1)'!D32,"F","R")</f>
        <v>R</v>
      </c>
      <c r="E9" s="1" t="str">
        <f>IF('Coefficients (7.2.1)'!E45&lt;'Coefficients (7.2.1)'!D45,"F","R")</f>
        <v>R</v>
      </c>
      <c r="F9" s="6" t="str">
        <f>IF('Coefficients (7.2.1)'!E58&lt;'Coefficients (7.2.1)'!D58,"F","R")</f>
        <v>R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0.5" customHeight="1" x14ac:dyDescent="0.25">
      <c r="A10" s="13"/>
      <c r="B10" s="5" t="str">
        <f>IF('Coefficients (7.2.1)'!E8&lt;'Coefficients (7.2.1)'!D8,"F","R")</f>
        <v>F</v>
      </c>
      <c r="C10" s="1" t="str">
        <f>IF('Coefficients (7.2.1)'!E21&lt;'Coefficients (7.2.1)'!D21,"F","R")</f>
        <v>R</v>
      </c>
      <c r="D10" s="1" t="str">
        <f>IF('Coefficients (7.2.1)'!E34&lt;'Coefficients (7.2.1)'!D34,"F","R")</f>
        <v>R</v>
      </c>
      <c r="E10" s="1" t="str">
        <f>IF('Coefficients (7.2.1)'!E47&lt;'Coefficients (7.2.1)'!D47,"F","R")</f>
        <v>R</v>
      </c>
      <c r="F10" s="6" t="str">
        <f>IF('Coefficients (7.2.1)'!E60&lt;'Coefficients (7.2.1)'!D60,"F","R")</f>
        <v>R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0.5" customHeight="1" x14ac:dyDescent="0.25">
      <c r="A11" s="13"/>
      <c r="B11" s="5" t="str">
        <f>IF('Coefficients (7.2.1)'!E10&lt;'Coefficients (7.2.1)'!D10,"F","R")</f>
        <v>F</v>
      </c>
      <c r="C11" s="1" t="str">
        <f>IF('Coefficients (7.2.1)'!E23&lt;'Coefficients (7.2.1)'!D23,"F","R")</f>
        <v>F</v>
      </c>
      <c r="D11" s="1" t="str">
        <f>IF('Coefficients (7.2.1)'!E36&lt;'Coefficients (7.2.1)'!D36,"F","R")</f>
        <v>F</v>
      </c>
      <c r="E11" s="1" t="str">
        <f>IF('Coefficients (7.2.1)'!E49&lt;'Coefficients (7.2.1)'!D49,"F","R")</f>
        <v>F</v>
      </c>
      <c r="F11" s="6" t="str">
        <f>IF('Coefficients (7.2.1)'!E62&lt;'Coefficients (7.2.1)'!D62,"F","R")</f>
        <v>F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0.5" customHeight="1" x14ac:dyDescent="0.25">
      <c r="A12" s="13"/>
      <c r="B12" s="7" t="str">
        <f>IF('Coefficients (7.2.1)'!E12&lt;'Coefficients (7.2.1)'!D12,"F","R")</f>
        <v>F</v>
      </c>
      <c r="C12" s="8" t="str">
        <f>IF('Coefficients (7.2.1)'!E25&lt;'Coefficients (7.2.1)'!D25,"F","R")</f>
        <v>F</v>
      </c>
      <c r="D12" s="8" t="str">
        <f>IF('Coefficients (7.2.1)'!E38&lt;'Coefficients (7.2.1)'!D38,"F","R")</f>
        <v>F</v>
      </c>
      <c r="E12" s="8" t="str">
        <f>IF('Coefficients (7.2.1)'!E51&lt;'Coefficients (7.2.1)'!D51,"F","R")</f>
        <v>F</v>
      </c>
      <c r="F12" s="9" t="str">
        <f>IF('Coefficients (7.2.1)'!E64&lt;'Coefficients (7.2.1)'!D64,"F","R")</f>
        <v>F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0.5" customHeight="1" x14ac:dyDescent="0.25">
      <c r="A13" s="14" t="s">
        <v>8</v>
      </c>
      <c r="B13" s="2" t="str">
        <f>IF('Coefficients (7.2.1)'!G4&lt;'Coefficients (7.2.1)'!F4,"F","R")</f>
        <v>R</v>
      </c>
      <c r="C13" s="3" t="str">
        <f>IF('Coefficients (7.2.1)'!G17&lt;'Coefficients (7.2.1)'!F17,"F","R")</f>
        <v>F</v>
      </c>
      <c r="D13" s="3" t="str">
        <f>IF('Coefficients (7.2.1)'!G30&lt;'Coefficients (7.2.1)'!F30,"F","R")</f>
        <v>F</v>
      </c>
      <c r="E13" s="3" t="str">
        <f>IF('Coefficients (7.2.1)'!G43&lt;'Coefficients (7.2.1)'!F43,"F","R")</f>
        <v>F</v>
      </c>
      <c r="F13" s="4" t="str">
        <f>IF('Coefficients (7.2.1)'!G56&lt;'Coefficients (7.2.1)'!F56,"F","R")</f>
        <v>R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0.5" customHeight="1" x14ac:dyDescent="0.25">
      <c r="A14" s="13"/>
      <c r="B14" s="5" t="str">
        <f>IF('Coefficients (7.2.1)'!G6&lt;'Coefficients (7.2.1)'!F6,"F","R")</f>
        <v>F</v>
      </c>
      <c r="C14" s="1" t="str">
        <f>IF('Coefficients (7.2.1)'!G19&lt;'Coefficients (7.2.1)'!F19,"F","R")</f>
        <v>F</v>
      </c>
      <c r="D14" s="1" t="str">
        <f>IF('Coefficients (7.2.1)'!G32&lt;'Coefficients (7.2.1)'!F32,"F","R")</f>
        <v>F</v>
      </c>
      <c r="E14" s="1" t="str">
        <f>IF('Coefficients (7.2.1)'!G45&lt;'Coefficients (7.2.1)'!F45,"F","R")</f>
        <v>F</v>
      </c>
      <c r="F14" s="6" t="str">
        <f>IF('Coefficients (7.2.1)'!G58&lt;'Coefficients (7.2.1)'!F58,"F","R")</f>
        <v>F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0.5" customHeight="1" x14ac:dyDescent="0.25">
      <c r="A15" s="13"/>
      <c r="B15" s="5" t="str">
        <f>IF('Coefficients (7.2.1)'!G8&lt;'Coefficients (7.2.1)'!F8,"F","R")</f>
        <v>F</v>
      </c>
      <c r="C15" s="1" t="str">
        <f>IF('Coefficients (7.2.1)'!G21&lt;'Coefficients (7.2.1)'!F21,"F","R")</f>
        <v>R</v>
      </c>
      <c r="D15" s="1" t="str">
        <f>IF('Coefficients (7.2.1)'!G34&lt;'Coefficients (7.2.1)'!F34,"F","R")</f>
        <v>R</v>
      </c>
      <c r="E15" s="1" t="str">
        <f>IF('Coefficients (7.2.1)'!G47&lt;'Coefficients (7.2.1)'!F47,"F","R")</f>
        <v>R</v>
      </c>
      <c r="F15" s="6" t="str">
        <f>IF('Coefficients (7.2.1)'!G60&lt;'Coefficients (7.2.1)'!F60,"F","R")</f>
        <v>R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0.5" customHeight="1" x14ac:dyDescent="0.25">
      <c r="A16" s="13"/>
      <c r="B16" s="5" t="str">
        <f>IF('Coefficients (7.2.1)'!G10&lt;'Coefficients (7.2.1)'!F10,"F","R")</f>
        <v>R</v>
      </c>
      <c r="C16" s="1" t="str">
        <f>IF('Coefficients (7.2.1)'!G23&lt;'Coefficients (7.2.1)'!F23,"F","R")</f>
        <v>R</v>
      </c>
      <c r="D16" s="1" t="str">
        <f>IF('Coefficients (7.2.1)'!G36&lt;'Coefficients (7.2.1)'!F36,"F","R")</f>
        <v>R</v>
      </c>
      <c r="E16" s="1" t="str">
        <f>IF('Coefficients (7.2.1)'!G49&lt;'Coefficients (7.2.1)'!F49,"F","R")</f>
        <v>R</v>
      </c>
      <c r="F16" s="6" t="str">
        <f>IF('Coefficients (7.2.1)'!G62&lt;'Coefficients (7.2.1)'!F62,"F","R")</f>
        <v>R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0.5" customHeight="1" x14ac:dyDescent="0.25">
      <c r="A17" s="13"/>
      <c r="B17" s="7" t="str">
        <f>IF('Coefficients (7.2.1)'!G12&lt;'Coefficients (7.2.1)'!F12,"F","R")</f>
        <v>F</v>
      </c>
      <c r="C17" s="8" t="str">
        <f>IF('Coefficients (7.2.1)'!G25&lt;'Coefficients (7.2.1)'!F25,"F","R")</f>
        <v>F</v>
      </c>
      <c r="D17" s="8" t="str">
        <f>IF('Coefficients (7.2.1)'!G38&lt;'Coefficients (7.2.1)'!F38,"F","R")</f>
        <v>R</v>
      </c>
      <c r="E17" s="8" t="str">
        <f>IF('Coefficients (7.2.1)'!G51&lt;'Coefficients (7.2.1)'!F51,"F","R")</f>
        <v>F</v>
      </c>
      <c r="F17" s="9" t="str">
        <f>IF('Coefficients (7.2.1)'!G64&lt;'Coefficients (7.2.1)'!F64,"F","R")</f>
        <v>F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0.5" customHeight="1" x14ac:dyDescent="0.25">
      <c r="A18" s="14" t="s">
        <v>9</v>
      </c>
      <c r="B18" s="2" t="str">
        <f>IF('Coefficients (7.2.1)'!I4&lt;'Coefficients (7.2.1)'!H4,"F","R")</f>
        <v>R</v>
      </c>
      <c r="C18" s="3" t="str">
        <f>IF('Coefficients (7.2.1)'!I17&lt;'Coefficients (7.2.1)'!H17,"F","R")</f>
        <v>F</v>
      </c>
      <c r="D18" s="3" t="str">
        <f>IF('Coefficients (7.2.1)'!I30&lt;'Coefficients (7.2.1)'!H30,"F","R")</f>
        <v>R</v>
      </c>
      <c r="E18" s="3" t="str">
        <f>IF('Coefficients (7.2.1)'!I43&lt;'Coefficients (7.2.1)'!H43,"F","R")</f>
        <v>R</v>
      </c>
      <c r="F18" s="4" t="str">
        <f>IF('Coefficients (7.2.1)'!I56&lt;'Coefficients (7.2.1)'!H56,"F","R")</f>
        <v>R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0.5" customHeight="1" x14ac:dyDescent="0.25">
      <c r="A19" s="13"/>
      <c r="B19" s="5" t="str">
        <f>IF('Coefficients (7.2.1)'!I6&lt;'Coefficients (7.2.1)'!H6,"F","R")</f>
        <v>F</v>
      </c>
      <c r="C19" s="1" t="str">
        <f>IF('Coefficients (7.2.1)'!I19&lt;'Coefficients (7.2.1)'!H19,"F","R")</f>
        <v>F</v>
      </c>
      <c r="D19" s="1" t="str">
        <f>IF('Coefficients (7.2.1)'!I32&lt;'Coefficients (7.2.1)'!H32,"F","R")</f>
        <v>R</v>
      </c>
      <c r="E19" s="1" t="str">
        <f>IF('Coefficients (7.2.1)'!I45&lt;'Coefficients (7.2.1)'!H45,"F","R")</f>
        <v>F</v>
      </c>
      <c r="F19" s="6" t="str">
        <f>IF('Coefficients (7.2.1)'!I58&lt;'Coefficients (7.2.1)'!H58,"F","R")</f>
        <v>F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0.5" customHeight="1" x14ac:dyDescent="0.25">
      <c r="A20" s="13"/>
      <c r="B20" s="5" t="str">
        <f>IF('Coefficients (7.2.1)'!I8&lt;'Coefficients (7.2.1)'!H8,"F","R")</f>
        <v>F</v>
      </c>
      <c r="C20" s="1" t="str">
        <f>IF('Coefficients (7.2.1)'!I21&lt;'Coefficients (7.2.1)'!H21,"F","R")</f>
        <v>R</v>
      </c>
      <c r="D20" s="1" t="str">
        <f>IF('Coefficients (7.2.1)'!I34&lt;'Coefficients (7.2.1)'!H34,"F","R")</f>
        <v>R</v>
      </c>
      <c r="E20" s="1" t="str">
        <f>IF('Coefficients (7.2.1)'!I47&lt;'Coefficients (7.2.1)'!H47,"F","R")</f>
        <v>R</v>
      </c>
      <c r="F20" s="6" t="str">
        <f>IF('Coefficients (7.2.1)'!I60&lt;'Coefficients (7.2.1)'!H60,"F","R")</f>
        <v>R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0.5" customHeight="1" x14ac:dyDescent="0.25">
      <c r="A21" s="13"/>
      <c r="B21" s="5" t="str">
        <f>IF('Coefficients (7.2.1)'!I10&lt;'Coefficients (7.2.1)'!H10,"F","R")</f>
        <v>R</v>
      </c>
      <c r="C21" s="1" t="str">
        <f>IF('Coefficients (7.2.1)'!I23&lt;'Coefficients (7.2.1)'!H23,"F","R")</f>
        <v>R</v>
      </c>
      <c r="D21" s="1" t="str">
        <f>IF('Coefficients (7.2.1)'!I36&lt;'Coefficients (7.2.1)'!H36,"F","R")</f>
        <v>F</v>
      </c>
      <c r="E21" s="1" t="str">
        <f>IF('Coefficients (7.2.1)'!I49&lt;'Coefficients (7.2.1)'!H49,"F","R")</f>
        <v>F</v>
      </c>
      <c r="F21" s="6" t="str">
        <f>IF('Coefficients (7.2.1)'!I62&lt;'Coefficients (7.2.1)'!H62,"F","R")</f>
        <v>F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0.5" customHeight="1" x14ac:dyDescent="0.25">
      <c r="A22" s="13"/>
      <c r="B22" s="7" t="str">
        <f>IF('Coefficients (7.2.1)'!I12&lt;'Coefficients (7.2.1)'!H12,"F","R")</f>
        <v>F</v>
      </c>
      <c r="C22" s="8" t="str">
        <f>IF('Coefficients (7.2.1)'!I25&lt;'Coefficients (7.2.1)'!H25,"F","R")</f>
        <v>F</v>
      </c>
      <c r="D22" s="8" t="str">
        <f>IF('Coefficients (7.2.1)'!I38&lt;'Coefficients (7.2.1)'!H38,"F","R")</f>
        <v>F</v>
      </c>
      <c r="E22" s="8" t="str">
        <f>IF('Coefficients (7.2.1)'!I51&lt;'Coefficients (7.2.1)'!H51,"F","R")</f>
        <v>F</v>
      </c>
      <c r="F22" s="9" t="str">
        <f>IF('Coefficients (7.2.1)'!I64&lt;'Coefficients (7.2.1)'!H64,"F","R")</f>
        <v>F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0.5" customHeight="1" x14ac:dyDescent="0.25">
      <c r="A23" s="14" t="s">
        <v>10</v>
      </c>
      <c r="B23" s="2" t="str">
        <f>IF('Coefficients (7.2.1)'!K4&lt;'Coefficients (7.2.1)'!J4,"F","R")</f>
        <v>R</v>
      </c>
      <c r="C23" s="3" t="str">
        <f>IF('Coefficients (7.2.1)'!K17&lt;'Coefficients (7.2.1)'!J17,"F","R")</f>
        <v>F</v>
      </c>
      <c r="D23" s="3" t="str">
        <f>IF('Coefficients (7.2.1)'!K30&lt;'Coefficients (7.2.1)'!J30,"F","R")</f>
        <v>F</v>
      </c>
      <c r="E23" s="3" t="str">
        <f>IF('Coefficients (7.2.1)'!K43&lt;'Coefficients (7.2.1)'!J43,"F","R")</f>
        <v>R</v>
      </c>
      <c r="F23" s="4" t="str">
        <f>IF('Coefficients (7.2.1)'!K56&lt;'Coefficients (7.2.1)'!J56,"F","R")</f>
        <v>F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0.5" customHeight="1" x14ac:dyDescent="0.25">
      <c r="A24" s="13"/>
      <c r="B24" s="5" t="str">
        <f>IF('Coefficients (7.2.1)'!K6&lt;'Coefficients (7.2.1)'!J6,"F","R")</f>
        <v>R</v>
      </c>
      <c r="C24" s="1" t="str">
        <f>IF('Coefficients (7.2.1)'!K19&lt;'Coefficients (7.2.1)'!J19,"F","R")</f>
        <v>R</v>
      </c>
      <c r="D24" s="1" t="str">
        <f>IF('Coefficients (7.2.1)'!K32&lt;'Coefficients (7.2.1)'!J32,"F","R")</f>
        <v>F</v>
      </c>
      <c r="E24" s="1" t="str">
        <f>IF('Coefficients (7.2.1)'!K45&lt;'Coefficients (7.2.1)'!J45,"F","R")</f>
        <v>F</v>
      </c>
      <c r="F24" s="6" t="str">
        <f>IF('Coefficients (7.2.1)'!K58&lt;'Coefficients (7.2.1)'!J58,"F","R")</f>
        <v>R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0.5" customHeight="1" x14ac:dyDescent="0.25">
      <c r="A25" s="13"/>
      <c r="B25" s="5" t="str">
        <f>IF('Coefficients (7.2.1)'!K8&lt;'Coefficients (7.2.1)'!J8,"F","R")</f>
        <v>F</v>
      </c>
      <c r="C25" s="1" t="str">
        <f>IF('Coefficients (7.2.1)'!K21&lt;'Coefficients (7.2.1)'!J21,"F","R")</f>
        <v>R</v>
      </c>
      <c r="D25" s="1" t="str">
        <f>IF('Coefficients (7.2.1)'!K34&lt;'Coefficients (7.2.1)'!J34,"F","R")</f>
        <v>R</v>
      </c>
      <c r="E25" s="1" t="str">
        <f>IF('Coefficients (7.2.1)'!K47&lt;'Coefficients (7.2.1)'!J47,"F","R")</f>
        <v>R</v>
      </c>
      <c r="F25" s="6" t="str">
        <f>IF('Coefficients (7.2.1)'!K60&lt;'Coefficients (7.2.1)'!J60,"F","R")</f>
        <v>R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0.5" customHeight="1" x14ac:dyDescent="0.25">
      <c r="A26" s="13"/>
      <c r="B26" s="5" t="str">
        <f>IF('Coefficients (7.2.1)'!K10&lt;'Coefficients (7.2.1)'!J10,"F","R")</f>
        <v>R</v>
      </c>
      <c r="C26" s="1" t="str">
        <f>IF('Coefficients (7.2.1)'!K23&lt;'Coefficients (7.2.1)'!J23,"F","R")</f>
        <v>R</v>
      </c>
      <c r="D26" s="1" t="str">
        <f>IF('Coefficients (7.2.1)'!K36&lt;'Coefficients (7.2.1)'!J36,"F","R")</f>
        <v>R</v>
      </c>
      <c r="E26" s="1" t="str">
        <f>IF('Coefficients (7.2.1)'!K49&lt;'Coefficients (7.2.1)'!J49,"F","R")</f>
        <v>R</v>
      </c>
      <c r="F26" s="6" t="str">
        <f>IF('Coefficients (7.2.1)'!K62&lt;'Coefficients (7.2.1)'!J62,"F","R")</f>
        <v>R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0.5" customHeight="1" x14ac:dyDescent="0.25">
      <c r="A27" s="13"/>
      <c r="B27" s="7" t="str">
        <f>IF('Coefficients (7.2.1)'!K12&lt;'Coefficients (7.2.1)'!J12,"F","R")</f>
        <v>F</v>
      </c>
      <c r="C27" s="8" t="str">
        <f>IF('Coefficients (7.2.1)'!K25&lt;'Coefficients (7.2.1)'!J25,"F","R")</f>
        <v>F</v>
      </c>
      <c r="D27" s="8" t="str">
        <f>IF('Coefficients (7.2.1)'!K38&lt;'Coefficients (7.2.1)'!J38,"F","R")</f>
        <v>R</v>
      </c>
      <c r="E27" s="8" t="str">
        <f>IF('Coefficients (7.2.1)'!K51&lt;'Coefficients (7.2.1)'!J51,"F","R")</f>
        <v>R</v>
      </c>
      <c r="F27" s="9" t="str">
        <f>IF('Coefficients (7.2.1)'!K64&lt;'Coefficients (7.2.1)'!J64,"F","R")</f>
        <v>F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0.5" customHeight="1" x14ac:dyDescent="0.25">
      <c r="A28" s="14" t="s">
        <v>11</v>
      </c>
      <c r="B28" s="2" t="str">
        <f>IF('Coefficients (7.2.1)'!M4&lt;'Coefficients (7.2.1)'!L4,"F","R")</f>
        <v>R</v>
      </c>
      <c r="C28" s="3" t="str">
        <f>IF('Coefficients (7.2.1)'!M17&lt;'Coefficients (7.2.1)'!L17,"F","R")</f>
        <v>F</v>
      </c>
      <c r="D28" s="3" t="str">
        <f>IF('Coefficients (7.2.1)'!M30&lt;'Coefficients (7.2.1)'!L30,"F","R")</f>
        <v>F</v>
      </c>
      <c r="E28" s="3" t="str">
        <f>IF('Coefficients (7.2.1)'!M43&lt;'Coefficients (7.2.1)'!L43,"F","R")</f>
        <v>R</v>
      </c>
      <c r="F28" s="4" t="str">
        <f>IF('Coefficients (7.2.1)'!M56&lt;'Coefficients (7.2.1)'!L56,"F","R")</f>
        <v>F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0.5" customHeight="1" x14ac:dyDescent="0.25">
      <c r="A29" s="13"/>
      <c r="B29" s="5" t="str">
        <f>IF('Coefficients (7.2.1)'!M6&lt;'Coefficients (7.2.1)'!L6,"F","R")</f>
        <v>R</v>
      </c>
      <c r="C29" s="1" t="str">
        <f>IF('Coefficients (7.2.1)'!M19&lt;'Coefficients (7.2.1)'!L19,"F","R")</f>
        <v>F</v>
      </c>
      <c r="D29" s="1" t="str">
        <f>IF('Coefficients (7.2.1)'!M32&lt;'Coefficients (7.2.1)'!L32,"F","R")</f>
        <v>F</v>
      </c>
      <c r="E29" s="1" t="str">
        <f>IF('Coefficients (7.2.1)'!M45&lt;'Coefficients (7.2.1)'!L45,"F","R")</f>
        <v>F</v>
      </c>
      <c r="F29" s="6" t="str">
        <f>IF('Coefficients (7.2.1)'!M58&lt;'Coefficients (7.2.1)'!L58,"F","R")</f>
        <v>R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0.5" customHeight="1" x14ac:dyDescent="0.25">
      <c r="A30" s="13"/>
      <c r="B30" s="5" t="str">
        <f>IF('Coefficients (7.2.1)'!M8&lt;'Coefficients (7.2.1)'!L8,"F","R")</f>
        <v>R</v>
      </c>
      <c r="C30" s="1" t="str">
        <f>IF('Coefficients (7.2.1)'!M21&lt;'Coefficients (7.2.1)'!L21,"F","R")</f>
        <v>R</v>
      </c>
      <c r="D30" s="1" t="str">
        <f>IF('Coefficients (7.2.1)'!M34&lt;'Coefficients (7.2.1)'!L34,"F","R")</f>
        <v>R</v>
      </c>
      <c r="E30" s="1" t="str">
        <f>IF('Coefficients (7.2.1)'!M47&lt;'Coefficients (7.2.1)'!L47,"F","R")</f>
        <v>R</v>
      </c>
      <c r="F30" s="6" t="str">
        <f>IF('Coefficients (7.2.1)'!M60&lt;'Coefficients (7.2.1)'!L60,"F","R")</f>
        <v>R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0.5" customHeight="1" x14ac:dyDescent="0.25">
      <c r="A31" s="13"/>
      <c r="B31" s="5" t="str">
        <f>IF('Coefficients (7.2.1)'!M10&lt;'Coefficients (7.2.1)'!L10,"F","R")</f>
        <v>R</v>
      </c>
      <c r="C31" s="1" t="str">
        <f>IF('Coefficients (7.2.1)'!M23&lt;'Coefficients (7.2.1)'!L23,"F","R")</f>
        <v>R</v>
      </c>
      <c r="D31" s="1" t="str">
        <f>IF('Coefficients (7.2.1)'!M36&lt;'Coefficients (7.2.1)'!L36,"F","R")</f>
        <v>R</v>
      </c>
      <c r="E31" s="1" t="str">
        <f>IF('Coefficients (7.2.1)'!M49&lt;'Coefficients (7.2.1)'!L49,"F","R")</f>
        <v>R</v>
      </c>
      <c r="F31" s="6" t="str">
        <f>IF('Coefficients (7.2.1)'!M62&lt;'Coefficients (7.2.1)'!L62,"F","R")</f>
        <v>R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0.5" customHeight="1" x14ac:dyDescent="0.25">
      <c r="A32" s="13"/>
      <c r="B32" s="7" t="str">
        <f>IF('Coefficients (7.2.1)'!M12&lt;'Coefficients (7.2.1)'!L12,"F","R")</f>
        <v>F</v>
      </c>
      <c r="C32" s="8" t="str">
        <f>IF('Coefficients (7.2.1)'!M25&lt;'Coefficients (7.2.1)'!L25,"F","R")</f>
        <v>F</v>
      </c>
      <c r="D32" s="8" t="str">
        <f>IF('Coefficients (7.2.1)'!M38&lt;'Coefficients (7.2.1)'!L38,"F","R")</f>
        <v>F</v>
      </c>
      <c r="E32" s="8" t="str">
        <f>IF('Coefficients (7.2.1)'!M51&lt;'Coefficients (7.2.1)'!L51,"F","R")</f>
        <v>F</v>
      </c>
      <c r="F32" s="9" t="str">
        <f>IF('Coefficients (7.2.1)'!M64&lt;'Coefficients (7.2.1)'!L64,"F","R")</f>
        <v>F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0.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0.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0.5" customHeight="1" x14ac:dyDescent="0.25">
      <c r="A35" s="1"/>
      <c r="B35" s="1" t="s">
        <v>12</v>
      </c>
      <c r="C35" s="1" t="s">
        <v>13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0.5" customHeight="1" x14ac:dyDescent="0.25">
      <c r="A36" s="1" t="s">
        <v>14</v>
      </c>
      <c r="B36" s="10">
        <f t="shared" ref="B36:B40" si="0">(COUNTIF(B3:F3,"F")+COUNTIF(B8:F8,"F")+COUNTIF(B13:F13,"F")+COUNTIF(B18:F18,"F")+COUNTIF(B23:F23,"F")+COUNTIF(B28:F28,"F"))/30</f>
        <v>0.4</v>
      </c>
      <c r="C36" s="10">
        <f t="shared" ref="C36:C40" si="1">(COUNTIF(B3:F3,"R")+COUNTIF(B8:F8,"R")+COUNTIF(B13:F13,"R")+COUNTIF(B18:F18,"R")+COUNTIF(B23:F23,"R")+COUNTIF(B28:F28,"R"))/30</f>
        <v>0.6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0.5" customHeight="1" x14ac:dyDescent="0.25">
      <c r="A37" s="1" t="s">
        <v>15</v>
      </c>
      <c r="B37" s="10">
        <f t="shared" si="0"/>
        <v>0.6333333333333333</v>
      </c>
      <c r="C37" s="10">
        <f t="shared" si="1"/>
        <v>0.36666666666666664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0.5" customHeight="1" x14ac:dyDescent="0.25">
      <c r="A38" s="1" t="s">
        <v>20</v>
      </c>
      <c r="B38" s="10">
        <f t="shared" si="0"/>
        <v>0.16666666666666666</v>
      </c>
      <c r="C38" s="10">
        <f t="shared" si="1"/>
        <v>0.83333333333333337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0.5" customHeight="1" x14ac:dyDescent="0.25">
      <c r="A39" s="1" t="s">
        <v>21</v>
      </c>
      <c r="B39" s="10">
        <f t="shared" si="0"/>
        <v>0.26666666666666666</v>
      </c>
      <c r="C39" s="10">
        <f t="shared" si="1"/>
        <v>0.73333333333333328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0.5" customHeight="1" x14ac:dyDescent="0.25">
      <c r="A40" s="1" t="s">
        <v>22</v>
      </c>
      <c r="B40" s="10">
        <f t="shared" si="0"/>
        <v>0.9</v>
      </c>
      <c r="C40" s="10">
        <f t="shared" si="1"/>
        <v>0.1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0.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0.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0.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0.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0.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0.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0.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0.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0.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0.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0.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0.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0.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0.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0.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0.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0.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0.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0.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0.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0.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0.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0.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0.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0.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0.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0.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0.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0.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0.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0.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0.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0.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0.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0.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0.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0.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0.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0.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0.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0.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0.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0.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0.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0.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0.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0.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0.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0.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0.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0.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0.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0.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0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0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0.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0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0.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0.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0.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0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0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0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0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0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0.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0.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0.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0.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0.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0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0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0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0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0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0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0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0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0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0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0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0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0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0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0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0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0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0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0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0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0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0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0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0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0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0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0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0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0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0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0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0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0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0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0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0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0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0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0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0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0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0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0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0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0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0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0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0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0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0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0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0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0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0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0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0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0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0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0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0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0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0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0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0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0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0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0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0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0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0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0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0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0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0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0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0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0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0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0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0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0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0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0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0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0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0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0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0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0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0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0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0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0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0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0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0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0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0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0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0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0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0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0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0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0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0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0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0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0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0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0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0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0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0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0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0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0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0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0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0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0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0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0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0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0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0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0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0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0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0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0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0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0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0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0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0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0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0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0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0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0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0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0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0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0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0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0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0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0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0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0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0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0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0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0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0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0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0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0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0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0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0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0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0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0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0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0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0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0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0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0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0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0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0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0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0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0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0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0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0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0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0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0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0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0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0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0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0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0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0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0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0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0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0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0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0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0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0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0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0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0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0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0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0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0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0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0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0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0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0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0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0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0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0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0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0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0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0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0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0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0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0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0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0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0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0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0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0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0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0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0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0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0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0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0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0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0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0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0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0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0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0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0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0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0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0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0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0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0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0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0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0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0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0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0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0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0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0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0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0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0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0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0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0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0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0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0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0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0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0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0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0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0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0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0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0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0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0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0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0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0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0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0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0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0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0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0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0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0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0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0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0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0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0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0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0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0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0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0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0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0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0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0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0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0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0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0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0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0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0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0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0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0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0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0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0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0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0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0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0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0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0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0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0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0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0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0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0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0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0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0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0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0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0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0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0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0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0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0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0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0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0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0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0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0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0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0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0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0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0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0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0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0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0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0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0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0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0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0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0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0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0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0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0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0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0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0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0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0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0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0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0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0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0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0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0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0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0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0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0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0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0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0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0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0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0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0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0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0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0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0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0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0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0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0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0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0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0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0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0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0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0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0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0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0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0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0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0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0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0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0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0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0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0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0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0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0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0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0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0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0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0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0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0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0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0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0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0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0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0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0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0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0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0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0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0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0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0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0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0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0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0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0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0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0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0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0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0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0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0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0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0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0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0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0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0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0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0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0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0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0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0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0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0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0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0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0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0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0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0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0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0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0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0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0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0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0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0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0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0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0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0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0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0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0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0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0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0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0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0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0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0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0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0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0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0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0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0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0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0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0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0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0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0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0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0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0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0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0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0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0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0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0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0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0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0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0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0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0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0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0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0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0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0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0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0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0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0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0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0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0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0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0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0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0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0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0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0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0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0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0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0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0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0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0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0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0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0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0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0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0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0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0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0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0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0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0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0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0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0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0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0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0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0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0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0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0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0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0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0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0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0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0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0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0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0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0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0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0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0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0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0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0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0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0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0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0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0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0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0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0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0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0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0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0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0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0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0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0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0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0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0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0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0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0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0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0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0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0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0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0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0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0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0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0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0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0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0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0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0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0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0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0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0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0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0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0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0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0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0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0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0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0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0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0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0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0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0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0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0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0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0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0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0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0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0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0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0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0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0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0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0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0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0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0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0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0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0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0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0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0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0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0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0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0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0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0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0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0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0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0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0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0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0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0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0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0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0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0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0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0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0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0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0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0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0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0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0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0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0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0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0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0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0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0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0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0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0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0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0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0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0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0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0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0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0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0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0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0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0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0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0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0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0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0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0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0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0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0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0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0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0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0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0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0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0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0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0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0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0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0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0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0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0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0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0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0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0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0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0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0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0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0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0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0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0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0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0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0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0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0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0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0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0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0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0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0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0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0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0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0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0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0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0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0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0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0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0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0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0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0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0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0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0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0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0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0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0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0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0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0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0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0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0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0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0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0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0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0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0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0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0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0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0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0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0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0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0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0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0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0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0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0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0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0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0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0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0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0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0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0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0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0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0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0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0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0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0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0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0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0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0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0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0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0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0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0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0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0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0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0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0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0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0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0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0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0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0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0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0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0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0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0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0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0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0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0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0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0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0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0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0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0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0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0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0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0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0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0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0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0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0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0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0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0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0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0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0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0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0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0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0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0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0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0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0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0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0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0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0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0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0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0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0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0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0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0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0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0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0.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A23:A27"/>
    <mergeCell ref="A28:A32"/>
    <mergeCell ref="B1:F1"/>
    <mergeCell ref="A3:A7"/>
    <mergeCell ref="A8:A12"/>
    <mergeCell ref="A13:A17"/>
    <mergeCell ref="A18:A22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 x14ac:dyDescent="0.25"/>
  <cols>
    <col min="1" max="1" width="21" customWidth="1"/>
    <col min="2" max="6" width="9.140625" customWidth="1"/>
    <col min="7" max="26" width="8.7109375" customWidth="1"/>
  </cols>
  <sheetData>
    <row r="1" spans="1:26" ht="10.5" customHeight="1" x14ac:dyDescent="0.25">
      <c r="A1" s="1"/>
      <c r="B1" s="12" t="s">
        <v>23</v>
      </c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0.5" customHeight="1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0.5" customHeight="1" x14ac:dyDescent="0.25">
      <c r="A3" s="14" t="s">
        <v>6</v>
      </c>
      <c r="B3" s="2" t="str">
        <f>IF('Coefficients (7.1.2)'!C4&lt;'Coefficients (7.1.2)'!B4,"F","R")</f>
        <v>F</v>
      </c>
      <c r="C3" s="3" t="str">
        <f>IF('Coefficients (7.1.2)'!C17&lt;'Coefficients (7.1.2)'!B17,"F","R")</f>
        <v>F</v>
      </c>
      <c r="D3" s="3" t="str">
        <f>IF('Coefficients (7.1.2)'!C30&lt;'Coefficients (7.1.2)'!B30,"F","R")</f>
        <v>F</v>
      </c>
      <c r="E3" s="3" t="str">
        <f>IF('Coefficients (7.1.2)'!C43&lt;'Coefficients (7.1.2)'!B43,"F","R")</f>
        <v>F</v>
      </c>
      <c r="F3" s="4" t="str">
        <f>IF('Coefficients (7.1.2)'!C56&lt;'Coefficients (7.1.2)'!B56,"F","R")</f>
        <v>F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0.5" customHeight="1" x14ac:dyDescent="0.25">
      <c r="A4" s="13"/>
      <c r="B4" s="5" t="str">
        <f>IF('Coefficients (7.1.2)'!C6&lt;'Coefficients (7.1.2)'!B6,"F","R")</f>
        <v>R</v>
      </c>
      <c r="C4" s="1" t="str">
        <f>IF('Coefficients (7.1.2)'!C19&lt;'Coefficients (7.1.2)'!B19,"F","R")</f>
        <v>R</v>
      </c>
      <c r="D4" s="1" t="str">
        <f>IF('Coefficients (7.1.2)'!C32&lt;'Coefficients (7.1.2)'!B32,"F","R")</f>
        <v>R</v>
      </c>
      <c r="E4" s="1" t="str">
        <f>IF('Coefficients (7.1.2)'!C45&lt;'Coefficients (7.1.2)'!B45,"F","R")</f>
        <v>R</v>
      </c>
      <c r="F4" s="6" t="str">
        <f>IF('Coefficients (7.1.2)'!C58&lt;'Coefficients (7.1.2)'!B58,"F","R")</f>
        <v>F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0.5" customHeight="1" x14ac:dyDescent="0.25">
      <c r="A5" s="13"/>
      <c r="B5" s="5" t="str">
        <f>IF('Coefficients (7.1.2)'!C8&lt;'Coefficients (7.1.2)'!B8,"F","R")</f>
        <v>F</v>
      </c>
      <c r="C5" s="1" t="str">
        <f>IF('Coefficients (7.1.2)'!C21&lt;'Coefficients (7.1.2)'!B21,"F","R")</f>
        <v>R</v>
      </c>
      <c r="D5" s="1" t="str">
        <f>IF('Coefficients (7.1.2)'!C34&lt;'Coefficients (7.1.2)'!B34,"F","R")</f>
        <v>R</v>
      </c>
      <c r="E5" s="1" t="str">
        <f>IF('Coefficients (7.1.2)'!C47&lt;'Coefficients (7.1.2)'!B47,"F","R")</f>
        <v>F</v>
      </c>
      <c r="F5" s="6" t="str">
        <f>IF('Coefficients (7.1.2)'!C60&lt;'Coefficients (7.1.2)'!B60,"F","R")</f>
        <v>R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.5" customHeight="1" x14ac:dyDescent="0.25">
      <c r="A6" s="13"/>
      <c r="B6" s="5" t="str">
        <f>IF('Coefficients (7.1.2)'!C10&lt;'Coefficients (7.1.2)'!B10,"F","R")</f>
        <v>F</v>
      </c>
      <c r="C6" s="1" t="str">
        <f>IF('Coefficients (7.1.2)'!C23&lt;'Coefficients (7.1.2)'!B23,"F","R")</f>
        <v>F</v>
      </c>
      <c r="D6" s="1" t="str">
        <f>IF('Coefficients (7.1.2)'!C36&lt;'Coefficients (7.1.2)'!B36,"F","R")</f>
        <v>F</v>
      </c>
      <c r="E6" s="1" t="str">
        <f>IF('Coefficients (7.1.2)'!C49&lt;'Coefficients (7.1.2)'!B49,"F","R")</f>
        <v>F</v>
      </c>
      <c r="F6" s="6" t="str">
        <f>IF('Coefficients (7.1.2)'!C62&lt;'Coefficients (7.1.2)'!B62,"F","R")</f>
        <v>F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.5" customHeight="1" x14ac:dyDescent="0.25">
      <c r="A7" s="13"/>
      <c r="B7" s="7" t="str">
        <f>IF('Coefficients (7.1.2)'!C12&lt;'Coefficients (7.1.2)'!B12,"F","R")</f>
        <v>F</v>
      </c>
      <c r="C7" s="8" t="str">
        <f>IF('Coefficients (7.1.2)'!C25&lt;'Coefficients (7.1.2)'!B25,"F","R")</f>
        <v>F</v>
      </c>
      <c r="D7" s="8" t="str">
        <f>IF('Coefficients (7.1.2)'!C38&lt;'Coefficients (7.1.2)'!B38,"F","R")</f>
        <v>F</v>
      </c>
      <c r="E7" s="8" t="str">
        <f>IF('Coefficients (7.1.2)'!C51&lt;'Coefficients (7.1.2)'!B51,"F","R")</f>
        <v>F</v>
      </c>
      <c r="F7" s="9" t="str">
        <f>IF('Coefficients (7.1.2)'!C64&lt;'Coefficients (7.1.2)'!B64,"F","R")</f>
        <v>F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0.5" customHeight="1" x14ac:dyDescent="0.25">
      <c r="A8" s="14" t="s">
        <v>7</v>
      </c>
      <c r="B8" s="2" t="str">
        <f>IF('Coefficients (7.1.2)'!E4&lt;'Coefficients (7.1.2)'!D4,"F","R")</f>
        <v>F</v>
      </c>
      <c r="C8" s="3" t="str">
        <f>IF('Coefficients (7.1.2)'!E17&lt;'Coefficients (7.1.2)'!D17,"F","R")</f>
        <v>R</v>
      </c>
      <c r="D8" s="3" t="str">
        <f>IF('Coefficients (7.1.2)'!E30&lt;'Coefficients (7.1.2)'!D30,"F","R")</f>
        <v>F</v>
      </c>
      <c r="E8" s="3" t="str">
        <f>IF('Coefficients (7.1.2)'!E43&lt;'Coefficients (7.1.2)'!D43,"F","R")</f>
        <v>F</v>
      </c>
      <c r="F8" s="4" t="str">
        <f>IF('Coefficients (7.1.2)'!E56&lt;'Coefficients (7.1.2)'!D56,"F","R")</f>
        <v>F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0.5" customHeight="1" x14ac:dyDescent="0.25">
      <c r="A9" s="13"/>
      <c r="B9" s="5" t="str">
        <f>IF('Coefficients (7.1.2)'!E6&lt;'Coefficients (7.1.2)'!D6,"F","R")</f>
        <v>R</v>
      </c>
      <c r="C9" s="1" t="str">
        <f>IF('Coefficients (7.1.2)'!E19&lt;'Coefficients (7.1.2)'!D19,"F","R")</f>
        <v>R</v>
      </c>
      <c r="D9" s="1" t="str">
        <f>IF('Coefficients (7.1.2)'!E32&lt;'Coefficients (7.1.2)'!D32,"F","R")</f>
        <v>R</v>
      </c>
      <c r="E9" s="1" t="str">
        <f>IF('Coefficients (7.1.2)'!E45&lt;'Coefficients (7.1.2)'!D45,"F","R")</f>
        <v>R</v>
      </c>
      <c r="F9" s="6" t="str">
        <f>IF('Coefficients (7.1.2)'!E58&lt;'Coefficients (7.1.2)'!D58,"F","R")</f>
        <v>F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0.5" customHeight="1" x14ac:dyDescent="0.25">
      <c r="A10" s="13"/>
      <c r="B10" s="5" t="str">
        <f>IF('Coefficients (7.1.2)'!E8&lt;'Coefficients (7.1.2)'!D8,"F","R")</f>
        <v>F</v>
      </c>
      <c r="C10" s="1" t="str">
        <f>IF('Coefficients (7.1.2)'!E21&lt;'Coefficients (7.1.2)'!D21,"F","R")</f>
        <v>F</v>
      </c>
      <c r="D10" s="1" t="str">
        <f>IF('Coefficients (7.1.2)'!E34&lt;'Coefficients (7.1.2)'!D34,"F","R")</f>
        <v>F</v>
      </c>
      <c r="E10" s="1" t="str">
        <f>IF('Coefficients (7.1.2)'!E47&lt;'Coefficients (7.1.2)'!D47,"F","R")</f>
        <v>R</v>
      </c>
      <c r="F10" s="6" t="str">
        <f>IF('Coefficients (7.1.2)'!E60&lt;'Coefficients (7.1.2)'!D60,"F","R")</f>
        <v>F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0.5" customHeight="1" x14ac:dyDescent="0.25">
      <c r="A11" s="13"/>
      <c r="B11" s="5" t="str">
        <f>IF('Coefficients (7.1.2)'!E10&lt;'Coefficients (7.1.2)'!D10,"F","R")</f>
        <v>F</v>
      </c>
      <c r="C11" s="1" t="str">
        <f>IF('Coefficients (7.1.2)'!E23&lt;'Coefficients (7.1.2)'!D23,"F","R")</f>
        <v>F</v>
      </c>
      <c r="D11" s="1" t="str">
        <f>IF('Coefficients (7.1.2)'!E36&lt;'Coefficients (7.1.2)'!D36,"F","R")</f>
        <v>F</v>
      </c>
      <c r="E11" s="1" t="str">
        <f>IF('Coefficients (7.1.2)'!E49&lt;'Coefficients (7.1.2)'!D49,"F","R")</f>
        <v>F</v>
      </c>
      <c r="F11" s="6" t="str">
        <f>IF('Coefficients (7.1.2)'!E62&lt;'Coefficients (7.1.2)'!D62,"F","R")</f>
        <v>R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0.5" customHeight="1" x14ac:dyDescent="0.25">
      <c r="A12" s="13"/>
      <c r="B12" s="7" t="str">
        <f>IF('Coefficients (7.1.2)'!E12&lt;'Coefficients (7.1.2)'!D12,"F","R")</f>
        <v>R</v>
      </c>
      <c r="C12" s="8" t="str">
        <f>IF('Coefficients (7.1.2)'!E25&lt;'Coefficients (7.1.2)'!D25,"F","R")</f>
        <v>F</v>
      </c>
      <c r="D12" s="8" t="str">
        <f>IF('Coefficients (7.1.2)'!E38&lt;'Coefficients (7.1.2)'!D38,"F","R")</f>
        <v>F</v>
      </c>
      <c r="E12" s="8" t="str">
        <f>IF('Coefficients (7.1.2)'!E51&lt;'Coefficients (7.1.2)'!D51,"F","R")</f>
        <v>F</v>
      </c>
      <c r="F12" s="9" t="str">
        <f>IF('Coefficients (7.1.2)'!E64&lt;'Coefficients (7.1.2)'!D64,"F","R")</f>
        <v>R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0.5" customHeight="1" x14ac:dyDescent="0.25">
      <c r="A13" s="14" t="s">
        <v>8</v>
      </c>
      <c r="B13" s="2" t="str">
        <f>IF('Coefficients (7.1.2)'!G4&lt;'Coefficients (7.1.2)'!F4,"F","R")</f>
        <v>F</v>
      </c>
      <c r="C13" s="3" t="str">
        <f>IF('Coefficients (7.1.2)'!G17&lt;'Coefficients (7.1.2)'!F17,"F","R")</f>
        <v>F</v>
      </c>
      <c r="D13" s="3" t="str">
        <f>IF('Coefficients (7.1.2)'!G30&lt;'Coefficients (7.1.2)'!F30,"F","R")</f>
        <v>F</v>
      </c>
      <c r="E13" s="3" t="str">
        <f>IF('Coefficients (7.1.2)'!G43&lt;'Coefficients (7.1.2)'!F43,"F","R")</f>
        <v>R</v>
      </c>
      <c r="F13" s="4" t="str">
        <f>IF('Coefficients (7.1.2)'!G56&lt;'Coefficients (7.1.2)'!F56,"F","R")</f>
        <v>F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0.5" customHeight="1" x14ac:dyDescent="0.25">
      <c r="A14" s="13"/>
      <c r="B14" s="5" t="str">
        <f>IF('Coefficients (7.1.2)'!G6&lt;'Coefficients (7.1.2)'!F6,"F","R")</f>
        <v>R</v>
      </c>
      <c r="C14" s="1" t="str">
        <f>IF('Coefficients (7.1.2)'!G19&lt;'Coefficients (7.1.2)'!F19,"F","R")</f>
        <v>R</v>
      </c>
      <c r="D14" s="1" t="str">
        <f>IF('Coefficients (7.1.2)'!G32&lt;'Coefficients (7.1.2)'!F32,"F","R")</f>
        <v>R</v>
      </c>
      <c r="E14" s="1" t="str">
        <f>IF('Coefficients (7.1.2)'!G45&lt;'Coefficients (7.1.2)'!F45,"F","R")</f>
        <v>R</v>
      </c>
      <c r="F14" s="6" t="str">
        <f>IF('Coefficients (7.1.2)'!G58&lt;'Coefficients (7.1.2)'!F58,"F","R")</f>
        <v>R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0.5" customHeight="1" x14ac:dyDescent="0.25">
      <c r="A15" s="13"/>
      <c r="B15" s="5" t="str">
        <f>IF('Coefficients (7.1.2)'!G8&lt;'Coefficients (7.1.2)'!F8,"F","R")</f>
        <v>F</v>
      </c>
      <c r="C15" s="1" t="str">
        <f>IF('Coefficients (7.1.2)'!G21&lt;'Coefficients (7.1.2)'!F21,"F","R")</f>
        <v>F</v>
      </c>
      <c r="D15" s="1" t="str">
        <f>IF('Coefficients (7.1.2)'!G34&lt;'Coefficients (7.1.2)'!F34,"F","R")</f>
        <v>F</v>
      </c>
      <c r="E15" s="1" t="str">
        <f>IF('Coefficients (7.1.2)'!G47&lt;'Coefficients (7.1.2)'!F47,"F","R")</f>
        <v>R</v>
      </c>
      <c r="F15" s="6" t="str">
        <f>IF('Coefficients (7.1.2)'!G60&lt;'Coefficients (7.1.2)'!F60,"F","R")</f>
        <v>F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0.5" customHeight="1" x14ac:dyDescent="0.25">
      <c r="A16" s="13"/>
      <c r="B16" s="5" t="str">
        <f>IF('Coefficients (7.1.2)'!G10&lt;'Coefficients (7.1.2)'!F10,"F","R")</f>
        <v>F</v>
      </c>
      <c r="C16" s="1" t="str">
        <f>IF('Coefficients (7.1.2)'!G23&lt;'Coefficients (7.1.2)'!F23,"F","R")</f>
        <v>F</v>
      </c>
      <c r="D16" s="1" t="str">
        <f>IF('Coefficients (7.1.2)'!G36&lt;'Coefficients (7.1.2)'!F36,"F","R")</f>
        <v>F</v>
      </c>
      <c r="E16" s="1" t="str">
        <f>IF('Coefficients (7.1.2)'!G49&lt;'Coefficients (7.1.2)'!F49,"F","R")</f>
        <v>F</v>
      </c>
      <c r="F16" s="6" t="str">
        <f>IF('Coefficients (7.1.2)'!G62&lt;'Coefficients (7.1.2)'!F62,"F","R")</f>
        <v>F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0.5" customHeight="1" x14ac:dyDescent="0.25">
      <c r="A17" s="13"/>
      <c r="B17" s="7" t="str">
        <f>IF('Coefficients (7.1.2)'!G12&lt;'Coefficients (7.1.2)'!F12,"F","R")</f>
        <v>F</v>
      </c>
      <c r="C17" s="8" t="str">
        <f>IF('Coefficients (7.1.2)'!G25&lt;'Coefficients (7.1.2)'!F25,"F","R")</f>
        <v>F</v>
      </c>
      <c r="D17" s="8" t="str">
        <f>IF('Coefficients (7.1.2)'!G38&lt;'Coefficients (7.1.2)'!F38,"F","R")</f>
        <v>F</v>
      </c>
      <c r="E17" s="8" t="str">
        <f>IF('Coefficients (7.1.2)'!G51&lt;'Coefficients (7.1.2)'!F51,"F","R")</f>
        <v>F</v>
      </c>
      <c r="F17" s="9" t="str">
        <f>IF('Coefficients (7.1.2)'!G64&lt;'Coefficients (7.1.2)'!F64,"F","R")</f>
        <v>R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0.5" customHeight="1" x14ac:dyDescent="0.25">
      <c r="A18" s="14" t="s">
        <v>9</v>
      </c>
      <c r="B18" s="2" t="str">
        <f>IF('Coefficients (7.1.2)'!I4&lt;'Coefficients (7.1.2)'!H4,"F","R")</f>
        <v>F</v>
      </c>
      <c r="C18" s="3" t="str">
        <f>IF('Coefficients (7.1.2)'!I17&lt;'Coefficients (7.1.2)'!H17,"F","R")</f>
        <v>R</v>
      </c>
      <c r="D18" s="3" t="str">
        <f>IF('Coefficients (7.1.2)'!I30&lt;'Coefficients (7.1.2)'!H30,"F","R")</f>
        <v>F</v>
      </c>
      <c r="E18" s="3" t="str">
        <f>IF('Coefficients (7.1.2)'!I43&lt;'Coefficients (7.1.2)'!H43,"F","R")</f>
        <v>F</v>
      </c>
      <c r="F18" s="4" t="str">
        <f>IF('Coefficients (7.1.2)'!I56&lt;'Coefficients (7.1.2)'!H56,"F","R")</f>
        <v>F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0.5" customHeight="1" x14ac:dyDescent="0.25">
      <c r="A19" s="13"/>
      <c r="B19" s="5" t="str">
        <f>IF('Coefficients (7.1.2)'!I6&lt;'Coefficients (7.1.2)'!H6,"F","R")</f>
        <v>R</v>
      </c>
      <c r="C19" s="1" t="str">
        <f>IF('Coefficients (7.1.2)'!I19&lt;'Coefficients (7.1.2)'!H19,"F","R")</f>
        <v>R</v>
      </c>
      <c r="D19" s="1" t="str">
        <f>IF('Coefficients (7.1.2)'!I32&lt;'Coefficients (7.1.2)'!H32,"F","R")</f>
        <v>R</v>
      </c>
      <c r="E19" s="1" t="str">
        <f>IF('Coefficients (7.1.2)'!I45&lt;'Coefficients (7.1.2)'!H45,"F","R")</f>
        <v>R</v>
      </c>
      <c r="F19" s="6" t="str">
        <f>IF('Coefficients (7.1.2)'!I58&lt;'Coefficients (7.1.2)'!H58,"F","R")</f>
        <v>F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0.5" customHeight="1" x14ac:dyDescent="0.25">
      <c r="A20" s="13"/>
      <c r="B20" s="5" t="str">
        <f>IF('Coefficients (7.1.2)'!I8&lt;'Coefficients (7.1.2)'!H8,"F","R")</f>
        <v>F</v>
      </c>
      <c r="C20" s="1" t="str">
        <f>IF('Coefficients (7.1.2)'!I21&lt;'Coefficients (7.1.2)'!H21,"F","R")</f>
        <v>F</v>
      </c>
      <c r="D20" s="1" t="str">
        <f>IF('Coefficients (7.1.2)'!I34&lt;'Coefficients (7.1.2)'!H34,"F","R")</f>
        <v>F</v>
      </c>
      <c r="E20" s="1" t="str">
        <f>IF('Coefficients (7.1.2)'!I47&lt;'Coefficients (7.1.2)'!H47,"F","R")</f>
        <v>F</v>
      </c>
      <c r="F20" s="6" t="str">
        <f>IF('Coefficients (7.1.2)'!I60&lt;'Coefficients (7.1.2)'!H60,"F","R")</f>
        <v>F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0.5" customHeight="1" x14ac:dyDescent="0.25">
      <c r="A21" s="13"/>
      <c r="B21" s="5" t="str">
        <f>IF('Coefficients (7.1.2)'!I10&lt;'Coefficients (7.1.2)'!H10,"F","R")</f>
        <v>F</v>
      </c>
      <c r="C21" s="1" t="str">
        <f>IF('Coefficients (7.1.2)'!I23&lt;'Coefficients (7.1.2)'!H23,"F","R")</f>
        <v>F</v>
      </c>
      <c r="D21" s="1" t="str">
        <f>IF('Coefficients (7.1.2)'!I36&lt;'Coefficients (7.1.2)'!H36,"F","R")</f>
        <v>F</v>
      </c>
      <c r="E21" s="1" t="str">
        <f>IF('Coefficients (7.1.2)'!I49&lt;'Coefficients (7.1.2)'!H49,"F","R")</f>
        <v>F</v>
      </c>
      <c r="F21" s="6" t="str">
        <f>IF('Coefficients (7.1.2)'!I62&lt;'Coefficients (7.1.2)'!H62,"F","R")</f>
        <v>F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0.5" customHeight="1" x14ac:dyDescent="0.25">
      <c r="A22" s="13"/>
      <c r="B22" s="7" t="str">
        <f>IF('Coefficients (7.1.2)'!I12&lt;'Coefficients (7.1.2)'!H12,"F","R")</f>
        <v>F</v>
      </c>
      <c r="C22" s="8" t="str">
        <f>IF('Coefficients (7.1.2)'!I25&lt;'Coefficients (7.1.2)'!H25,"F","R")</f>
        <v>F</v>
      </c>
      <c r="D22" s="8" t="str">
        <f>IF('Coefficients (7.1.2)'!I38&lt;'Coefficients (7.1.2)'!H38,"F","R")</f>
        <v>F</v>
      </c>
      <c r="E22" s="8" t="str">
        <f>IF('Coefficients (7.1.2)'!I51&lt;'Coefficients (7.1.2)'!H51,"F","R")</f>
        <v>F</v>
      </c>
      <c r="F22" s="9" t="str">
        <f>IF('Coefficients (7.1.2)'!I64&lt;'Coefficients (7.1.2)'!H64,"F","R")</f>
        <v>F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0.5" customHeight="1" x14ac:dyDescent="0.25">
      <c r="A23" s="14" t="s">
        <v>10</v>
      </c>
      <c r="B23" s="2" t="str">
        <f>IF('Coefficients (7.1.2)'!K4&lt;'Coefficients (7.1.2)'!J4,"F","R")</f>
        <v>F</v>
      </c>
      <c r="C23" s="3" t="str">
        <f>IF('Coefficients (7.1.2)'!K17&lt;'Coefficients (7.1.2)'!J17,"F","R")</f>
        <v>F</v>
      </c>
      <c r="D23" s="3" t="str">
        <f>IF('Coefficients (7.1.2)'!K30&lt;'Coefficients (7.1.2)'!J30,"F","R")</f>
        <v>F</v>
      </c>
      <c r="E23" s="3" t="str">
        <f>IF('Coefficients (7.1.2)'!K43&lt;'Coefficients (7.1.2)'!J43,"F","R")</f>
        <v>F</v>
      </c>
      <c r="F23" s="4" t="str">
        <f>IF('Coefficients (7.1.2)'!K56&lt;'Coefficients (7.1.2)'!J56,"F","R")</f>
        <v>F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0.5" customHeight="1" x14ac:dyDescent="0.25">
      <c r="A24" s="13"/>
      <c r="B24" s="5" t="str">
        <f>IF('Coefficients (7.1.2)'!K6&lt;'Coefficients (7.1.2)'!J6,"F","R")</f>
        <v>R</v>
      </c>
      <c r="C24" s="1" t="str">
        <f>IF('Coefficients (7.1.2)'!K19&lt;'Coefficients (7.1.2)'!J19,"F","R")</f>
        <v>R</v>
      </c>
      <c r="D24" s="1" t="str">
        <f>IF('Coefficients (7.1.2)'!K32&lt;'Coefficients (7.1.2)'!J32,"F","R")</f>
        <v>R</v>
      </c>
      <c r="E24" s="1" t="str">
        <f>IF('Coefficients (7.1.2)'!K45&lt;'Coefficients (7.1.2)'!J45,"F","R")</f>
        <v>R</v>
      </c>
      <c r="F24" s="6" t="str">
        <f>IF('Coefficients (7.1.2)'!K58&lt;'Coefficients (7.1.2)'!J58,"F","R")</f>
        <v>F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0.5" customHeight="1" x14ac:dyDescent="0.25">
      <c r="A25" s="13"/>
      <c r="B25" s="5" t="str">
        <f>IF('Coefficients (7.1.2)'!K8&lt;'Coefficients (7.1.2)'!J8,"F","R")</f>
        <v>F</v>
      </c>
      <c r="C25" s="1" t="str">
        <f>IF('Coefficients (7.1.2)'!K21&lt;'Coefficients (7.1.2)'!J21,"F","R")</f>
        <v>R</v>
      </c>
      <c r="D25" s="1" t="str">
        <f>IF('Coefficients (7.1.2)'!K34&lt;'Coefficients (7.1.2)'!J34,"F","R")</f>
        <v>F</v>
      </c>
      <c r="E25" s="1" t="str">
        <f>IF('Coefficients (7.1.2)'!K47&lt;'Coefficients (7.1.2)'!J47,"F","R")</f>
        <v>F</v>
      </c>
      <c r="F25" s="6" t="str">
        <f>IF('Coefficients (7.1.2)'!K60&lt;'Coefficients (7.1.2)'!J60,"F","R")</f>
        <v>R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0.5" customHeight="1" x14ac:dyDescent="0.25">
      <c r="A26" s="13"/>
      <c r="B26" s="5" t="str">
        <f>IF('Coefficients (7.1.2)'!K10&lt;'Coefficients (7.1.2)'!J10,"F","R")</f>
        <v>F</v>
      </c>
      <c r="C26" s="1" t="str">
        <f>IF('Coefficients (7.1.2)'!K23&lt;'Coefficients (7.1.2)'!J23,"F","R")</f>
        <v>F</v>
      </c>
      <c r="D26" s="1" t="str">
        <f>IF('Coefficients (7.1.2)'!K36&lt;'Coefficients (7.1.2)'!J36,"F","R")</f>
        <v>F</v>
      </c>
      <c r="E26" s="1" t="str">
        <f>IF('Coefficients (7.1.2)'!K49&lt;'Coefficients (7.1.2)'!J49,"F","R")</f>
        <v>F</v>
      </c>
      <c r="F26" s="6" t="str">
        <f>IF('Coefficients (7.1.2)'!K62&lt;'Coefficients (7.1.2)'!J62,"F","R")</f>
        <v>F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0.5" customHeight="1" x14ac:dyDescent="0.25">
      <c r="A27" s="13"/>
      <c r="B27" s="7" t="str">
        <f>IF('Coefficients (7.1.2)'!K12&lt;'Coefficients (7.1.2)'!J12,"F","R")</f>
        <v>F</v>
      </c>
      <c r="C27" s="8" t="str">
        <f>IF('Coefficients (7.1.2)'!K25&lt;'Coefficients (7.1.2)'!J25,"F","R")</f>
        <v>F</v>
      </c>
      <c r="D27" s="8" t="str">
        <f>IF('Coefficients (7.1.2)'!K38&lt;'Coefficients (7.1.2)'!J38,"F","R")</f>
        <v>R</v>
      </c>
      <c r="E27" s="8" t="str">
        <f>IF('Coefficients (7.1.2)'!K51&lt;'Coefficients (7.1.2)'!J51,"F","R")</f>
        <v>F</v>
      </c>
      <c r="F27" s="9" t="str">
        <f>IF('Coefficients (7.1.2)'!K64&lt;'Coefficients (7.1.2)'!J64,"F","R")</f>
        <v>F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0.5" customHeight="1" x14ac:dyDescent="0.25">
      <c r="A28" s="14" t="s">
        <v>11</v>
      </c>
      <c r="B28" s="2" t="str">
        <f>IF('Coefficients (7.1.2)'!M4&lt;'Coefficients (7.1.2)'!L4,"F","R")</f>
        <v>F</v>
      </c>
      <c r="C28" s="3" t="str">
        <f>IF('Coefficients (7.1.2)'!M17&lt;'Coefficients (7.1.2)'!L17,"F","R")</f>
        <v>F</v>
      </c>
      <c r="D28" s="3" t="str">
        <f>IF('Coefficients (7.1.2)'!M30&lt;'Coefficients (7.1.2)'!L30,"F","R")</f>
        <v>F</v>
      </c>
      <c r="E28" s="3" t="str">
        <f>IF('Coefficients (7.1.2)'!M43&lt;'Coefficients (7.1.2)'!L43,"F","R")</f>
        <v>F</v>
      </c>
      <c r="F28" s="4" t="str">
        <f>IF('Coefficients (7.1.2)'!M56&lt;'Coefficients (7.1.2)'!L56,"F","R")</f>
        <v>F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0.5" customHeight="1" x14ac:dyDescent="0.25">
      <c r="A29" s="13"/>
      <c r="B29" s="5" t="str">
        <f>IF('Coefficients (7.1.2)'!M6&lt;'Coefficients (7.1.2)'!L6,"F","R")</f>
        <v>R</v>
      </c>
      <c r="C29" s="1" t="str">
        <f>IF('Coefficients (7.1.2)'!M19&lt;'Coefficients (7.1.2)'!L19,"F","R")</f>
        <v>R</v>
      </c>
      <c r="D29" s="1" t="str">
        <f>IF('Coefficients (7.1.2)'!M32&lt;'Coefficients (7.1.2)'!L32,"F","R")</f>
        <v>R</v>
      </c>
      <c r="E29" s="1" t="str">
        <f>IF('Coefficients (7.1.2)'!M45&lt;'Coefficients (7.1.2)'!L45,"F","R")</f>
        <v>R</v>
      </c>
      <c r="F29" s="6" t="str">
        <f>IF('Coefficients (7.1.2)'!M58&lt;'Coefficients (7.1.2)'!L58,"F","R")</f>
        <v>R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0.5" customHeight="1" x14ac:dyDescent="0.25">
      <c r="A30" s="13"/>
      <c r="B30" s="5" t="str">
        <f>IF('Coefficients (7.1.2)'!M8&lt;'Coefficients (7.1.2)'!L8,"F","R")</f>
        <v>F</v>
      </c>
      <c r="C30" s="1" t="str">
        <f>IF('Coefficients (7.1.2)'!M21&lt;'Coefficients (7.1.2)'!L21,"F","R")</f>
        <v>R</v>
      </c>
      <c r="D30" s="1" t="str">
        <f>IF('Coefficients (7.1.2)'!M34&lt;'Coefficients (7.1.2)'!L34,"F","R")</f>
        <v>R</v>
      </c>
      <c r="E30" s="1" t="str">
        <f>IF('Coefficients (7.1.2)'!M47&lt;'Coefficients (7.1.2)'!L47,"F","R")</f>
        <v>R</v>
      </c>
      <c r="F30" s="6" t="str">
        <f>IF('Coefficients (7.1.2)'!M60&lt;'Coefficients (7.1.2)'!L60,"F","R")</f>
        <v>F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0.5" customHeight="1" x14ac:dyDescent="0.25">
      <c r="A31" s="13"/>
      <c r="B31" s="5" t="str">
        <f>IF('Coefficients (7.1.2)'!M10&lt;'Coefficients (7.1.2)'!L10,"F","R")</f>
        <v>R</v>
      </c>
      <c r="C31" s="1" t="str">
        <f>IF('Coefficients (7.1.2)'!M23&lt;'Coefficients (7.1.2)'!L23,"F","R")</f>
        <v>F</v>
      </c>
      <c r="D31" s="1" t="str">
        <f>IF('Coefficients (7.1.2)'!M36&lt;'Coefficients (7.1.2)'!L36,"F","R")</f>
        <v>R</v>
      </c>
      <c r="E31" s="1" t="str">
        <f>IF('Coefficients (7.1.2)'!M49&lt;'Coefficients (7.1.2)'!L49,"F","R")</f>
        <v>R</v>
      </c>
      <c r="F31" s="6" t="str">
        <f>IF('Coefficients (7.1.2)'!M62&lt;'Coefficients (7.1.2)'!L62,"F","R")</f>
        <v>R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0.5" customHeight="1" x14ac:dyDescent="0.25">
      <c r="A32" s="13"/>
      <c r="B32" s="7" t="str">
        <f>IF('Coefficients (7.1.2)'!M12&lt;'Coefficients (7.1.2)'!L12,"F","R")</f>
        <v>F</v>
      </c>
      <c r="C32" s="8" t="str">
        <f>IF('Coefficients (7.1.2)'!M25&lt;'Coefficients (7.1.2)'!L25,"F","R")</f>
        <v>R</v>
      </c>
      <c r="D32" s="8" t="str">
        <f>IF('Coefficients (7.1.2)'!M38&lt;'Coefficients (7.1.2)'!L38,"F","R")</f>
        <v>F</v>
      </c>
      <c r="E32" s="8" t="str">
        <f>IF('Coefficients (7.1.2)'!M51&lt;'Coefficients (7.1.2)'!L51,"F","R")</f>
        <v>R</v>
      </c>
      <c r="F32" s="9" t="str">
        <f>IF('Coefficients (7.1.2)'!M64&lt;'Coefficients (7.1.2)'!L64,"F","R")</f>
        <v>R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0.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0.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0.5" customHeight="1" x14ac:dyDescent="0.25">
      <c r="A35" s="1"/>
      <c r="B35" s="1" t="s">
        <v>12</v>
      </c>
      <c r="C35" s="1" t="s">
        <v>13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0.5" customHeight="1" x14ac:dyDescent="0.25">
      <c r="A36" s="1" t="s">
        <v>24</v>
      </c>
      <c r="B36" s="10">
        <f t="shared" ref="B36:B40" si="0">(COUNTIF(B3:F3,"F")+COUNTIF(B8:F8,"F")+COUNTIF(B13:F13,"F")+COUNTIF(B18:F18,"F")+COUNTIF(B23:F23,"F")+COUNTIF(B28:F28,"F"))/30</f>
        <v>0.9</v>
      </c>
      <c r="C36" s="10">
        <f t="shared" ref="C36:C40" si="1">(COUNTIF(B3:F3,"R")+COUNTIF(B8:F8,"R")+COUNTIF(B13:F13,"R")+COUNTIF(B18:F18,"R")+COUNTIF(B23:F23,"R")+COUNTIF(B28:F28,"R"))/30</f>
        <v>0.1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0.5" customHeight="1" x14ac:dyDescent="0.25">
      <c r="A37" s="1" t="s">
        <v>25</v>
      </c>
      <c r="B37" s="10">
        <f t="shared" si="0"/>
        <v>0.13333333333333333</v>
      </c>
      <c r="C37" s="10">
        <f t="shared" si="1"/>
        <v>0.8666666666666667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0.5" customHeight="1" x14ac:dyDescent="0.25">
      <c r="A38" s="1" t="s">
        <v>14</v>
      </c>
      <c r="B38" s="10">
        <f t="shared" si="0"/>
        <v>0.66666666666666663</v>
      </c>
      <c r="C38" s="10">
        <f t="shared" si="1"/>
        <v>0.33333333333333331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0.5" customHeight="1" x14ac:dyDescent="0.25">
      <c r="A39" s="1" t="s">
        <v>26</v>
      </c>
      <c r="B39" s="10">
        <f t="shared" si="0"/>
        <v>0.83333333333333337</v>
      </c>
      <c r="C39" s="10">
        <f t="shared" si="1"/>
        <v>0.16666666666666666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0.5" customHeight="1" x14ac:dyDescent="0.25">
      <c r="A40" s="1" t="s">
        <v>27</v>
      </c>
      <c r="B40" s="10">
        <f t="shared" si="0"/>
        <v>0.76666666666666672</v>
      </c>
      <c r="C40" s="10">
        <f t="shared" si="1"/>
        <v>0.23333333333333334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0.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0.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0.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0.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0.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0.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0.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0.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0.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0.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0.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0.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0.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0.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0.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0.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0.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0.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0.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0.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0.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0.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0.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0.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0.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0.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0.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0.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0.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0.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0.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0.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0.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0.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0.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0.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0.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0.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0.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0.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0.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0.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0.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0.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0.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0.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0.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0.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0.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0.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0.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0.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0.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0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0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0.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0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0.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0.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0.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0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0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0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0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0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0.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0.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0.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0.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0.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0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0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0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0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0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0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0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0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0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0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0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0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0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0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0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0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0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0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0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0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0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0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0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0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0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0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0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0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0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0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0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0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0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0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0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0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0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0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0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0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0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0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0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0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0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0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0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0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0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0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0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0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0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0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0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0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0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0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0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0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0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0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0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0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0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0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0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0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0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0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0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0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0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0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0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0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0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0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0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0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0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0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0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0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0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0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0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0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0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0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0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0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0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0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0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0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0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0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0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0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0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0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0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0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0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0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0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0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0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0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0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0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0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0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0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0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0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0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0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0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0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0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0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0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0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0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0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0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0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0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0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0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0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0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0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0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0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0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0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0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0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0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0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0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0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0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0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0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0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0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0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0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0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0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0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0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0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0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0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0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0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0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0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0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0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0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0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0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0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0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0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0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0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0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0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0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0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0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0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0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0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0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0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0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0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0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0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0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0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0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0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0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0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0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0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0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0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0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0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0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0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0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0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0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0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0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0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0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0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0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0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0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0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0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0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0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0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0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0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0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0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0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0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0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0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0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0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0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0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0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0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0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0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0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0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0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0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0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0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0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0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0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0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0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0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0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0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0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0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0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0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0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0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0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0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0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0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0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0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0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0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0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0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0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0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0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0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0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0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0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0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0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0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0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0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0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0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0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0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0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0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0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0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0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0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0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0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0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0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0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0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0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0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0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0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0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0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0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0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0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0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0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0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0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0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0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0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0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0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0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0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0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0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0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0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0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0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0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0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0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0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0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0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0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0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0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0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0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0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0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0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0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0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0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0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0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0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0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0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0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0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0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0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0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0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0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0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0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0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0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0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0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0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0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0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0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0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0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0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0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0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0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0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0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0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0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0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0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0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0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0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0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0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0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0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0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0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0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0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0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0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0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0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0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0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0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0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0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0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0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0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0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0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0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0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0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0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0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0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0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0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0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0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0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0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0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0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0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0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0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0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0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0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0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0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0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0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0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0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0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0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0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0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0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0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0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0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0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0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0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0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0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0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0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0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0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0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0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0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0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0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0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0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0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0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0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0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0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0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0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0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0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0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0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0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0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0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0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0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0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0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0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0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0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0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0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0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0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0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0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0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0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0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0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0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0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0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0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0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0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0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0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0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0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0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0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0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0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0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0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0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0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0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0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0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0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0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0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0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0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0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0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0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0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0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0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0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0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0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0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0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0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0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0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0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0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0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0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0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0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0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0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0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0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0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0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0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0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0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0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0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0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0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0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0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0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0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0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0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0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0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0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0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0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0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0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0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0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0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0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0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0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0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0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0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0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0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0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0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0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0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0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0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0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0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0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0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0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0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0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0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0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0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0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0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0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0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0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0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0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0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0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0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0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0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0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0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0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0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0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0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0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0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0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0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0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0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0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0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0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0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0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0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0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0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0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0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0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0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0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0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0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0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0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0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0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0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0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0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0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0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0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0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0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0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0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0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0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0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0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0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0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0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0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0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0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0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0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0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0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0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0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0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0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0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0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0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0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0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0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0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0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0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0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0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0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0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0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0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0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0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0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0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0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0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0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0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0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0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0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0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0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0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0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0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0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0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0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0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0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0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0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0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0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0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0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0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0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0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0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0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0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0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0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0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0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0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0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0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0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0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0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0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0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0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0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0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0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0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0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0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0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0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0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0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0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0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0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0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0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0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0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0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0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0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0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0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0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0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0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0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0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0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0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0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0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0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0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0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0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0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0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0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0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0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0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0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0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0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0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0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0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0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0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0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0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0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0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0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0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0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0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0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0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0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0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0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0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0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0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0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0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0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0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0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0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0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0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0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0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0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0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0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0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0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0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0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0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0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0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0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0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0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0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0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0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0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0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0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0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0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0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0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0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0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0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0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0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0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0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0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0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0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0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0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0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0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0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0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0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0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0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0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0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0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0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0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0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0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0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0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0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0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0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0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0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0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0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0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0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0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0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0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0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0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0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0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0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0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0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0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0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0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0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0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0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0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0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0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0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0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0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0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0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0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0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0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0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0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0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0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0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0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0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0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0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0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0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0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0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0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0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0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0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0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0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0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0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0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0.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A23:A27"/>
    <mergeCell ref="A28:A32"/>
    <mergeCell ref="B1:F1"/>
    <mergeCell ref="A3:A7"/>
    <mergeCell ref="A8:A12"/>
    <mergeCell ref="A13:A17"/>
    <mergeCell ref="A18:A22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2578125" defaultRowHeight="15" customHeight="1" x14ac:dyDescent="0.25"/>
  <cols>
    <col min="1" max="1" width="21" customWidth="1"/>
    <col min="2" max="6" width="9.140625" customWidth="1"/>
    <col min="7" max="26" width="8.7109375" customWidth="1"/>
  </cols>
  <sheetData>
    <row r="1" spans="1:26" ht="10.5" customHeight="1" x14ac:dyDescent="0.25">
      <c r="A1" s="1"/>
      <c r="B1" s="12" t="s">
        <v>28</v>
      </c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0.5" customHeight="1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0.5" customHeight="1" x14ac:dyDescent="0.25">
      <c r="A3" s="14" t="s">
        <v>6</v>
      </c>
      <c r="B3" s="2" t="str">
        <f>IF('Coefficients (7.1.1)'!C4&lt;'Coefficients (7.1.1)'!B4,"F","R")</f>
        <v>F</v>
      </c>
      <c r="C3" s="3" t="str">
        <f>IF('Coefficients (7.1.1)'!C17&lt;'Coefficients (7.1.1)'!B17,"F","R")</f>
        <v>F</v>
      </c>
      <c r="D3" s="3" t="str">
        <f>IF('Coefficients (7.1.1)'!C30&lt;'Coefficients (7.1.1)'!B30,"F","R")</f>
        <v>F</v>
      </c>
      <c r="E3" s="3" t="str">
        <f>IF('Coefficients (7.1.1)'!C43&lt;'Coefficients (7.1.1)'!B43,"F","R")</f>
        <v>F</v>
      </c>
      <c r="F3" s="4" t="str">
        <f>IF('Coefficients (7.1.1)'!C56&lt;'Coefficients (7.1.1)'!B56,"F","R")</f>
        <v>F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0.5" customHeight="1" x14ac:dyDescent="0.25">
      <c r="A4" s="13"/>
      <c r="B4" s="5" t="str">
        <f>IF('Coefficients (7.1.1)'!C6&lt;'Coefficients (7.1.1)'!B6,"F","R")</f>
        <v>F</v>
      </c>
      <c r="C4" s="1" t="str">
        <f>IF('Coefficients (7.1.1)'!C19&lt;'Coefficients (7.1.1)'!B19,"F","R")</f>
        <v>R</v>
      </c>
      <c r="D4" s="1" t="str">
        <f>IF('Coefficients (7.1.1)'!C32&lt;'Coefficients (7.1.1)'!B32,"F","R")</f>
        <v>R</v>
      </c>
      <c r="E4" s="1" t="str">
        <f>IF('Coefficients (7.1.1)'!C45&lt;'Coefficients (7.1.1)'!B45,"F","R")</f>
        <v>F</v>
      </c>
      <c r="F4" s="6" t="str">
        <f>IF('Coefficients (7.1.1)'!C58&lt;'Coefficients (7.1.1)'!B58,"F","R")</f>
        <v>F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0.5" customHeight="1" x14ac:dyDescent="0.25">
      <c r="A5" s="13"/>
      <c r="B5" s="5" t="str">
        <f>IF('Coefficients (7.1.1)'!C8&lt;'Coefficients (7.1.1)'!B8,"F","R")</f>
        <v>R</v>
      </c>
      <c r="C5" s="1" t="str">
        <f>IF('Coefficients (7.1.1)'!C21&lt;'Coefficients (7.1.1)'!B21,"F","R")</f>
        <v>F</v>
      </c>
      <c r="D5" s="1" t="str">
        <f>IF('Coefficients (7.1.1)'!C34&lt;'Coefficients (7.1.1)'!B34,"F","R")</f>
        <v>R</v>
      </c>
      <c r="E5" s="1" t="str">
        <f>IF('Coefficients (7.1.1)'!C47&lt;'Coefficients (7.1.1)'!B47,"F","R")</f>
        <v>R</v>
      </c>
      <c r="F5" s="6" t="str">
        <f>IF('Coefficients (7.1.1)'!C60&lt;'Coefficients (7.1.1)'!B60,"F","R")</f>
        <v>R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.5" customHeight="1" x14ac:dyDescent="0.25">
      <c r="A6" s="13"/>
      <c r="B6" s="5" t="str">
        <f>IF('Coefficients (7.1.1)'!C10&lt;'Coefficients (7.1.1)'!B10,"F","R")</f>
        <v>R</v>
      </c>
      <c r="C6" s="1" t="str">
        <f>IF('Coefficients (7.1.1)'!C23&lt;'Coefficients (7.1.1)'!B23,"F","R")</f>
        <v>R</v>
      </c>
      <c r="D6" s="1" t="str">
        <f>IF('Coefficients (7.1.1)'!C36&lt;'Coefficients (7.1.1)'!B36,"F","R")</f>
        <v>F</v>
      </c>
      <c r="E6" s="1" t="str">
        <f>IF('Coefficients (7.1.1)'!C49&lt;'Coefficients (7.1.1)'!B49,"F","R")</f>
        <v>R</v>
      </c>
      <c r="F6" s="6" t="str">
        <f>IF('Coefficients (7.1.1)'!C62&lt;'Coefficients (7.1.1)'!B62,"F","R")</f>
        <v>R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.5" customHeight="1" x14ac:dyDescent="0.25">
      <c r="A7" s="13"/>
      <c r="B7" s="7" t="str">
        <f>IF('Coefficients (7.1.1)'!C12&lt;'Coefficients (7.1.1)'!B12,"F","R")</f>
        <v>F</v>
      </c>
      <c r="C7" s="8" t="str">
        <f>IF('Coefficients (7.1.1)'!C25&lt;'Coefficients (7.1.1)'!B25,"F","R")</f>
        <v>R</v>
      </c>
      <c r="D7" s="8" t="str">
        <f>IF('Coefficients (7.1.1)'!C38&lt;'Coefficients (7.1.1)'!B38,"F","R")</f>
        <v>F</v>
      </c>
      <c r="E7" s="8" t="str">
        <f>IF('Coefficients (7.1.1)'!C51&lt;'Coefficients (7.1.1)'!B51,"F","R")</f>
        <v>F</v>
      </c>
      <c r="F7" s="9" t="str">
        <f>IF('Coefficients (7.1.1)'!C64&lt;'Coefficients (7.1.1)'!B64,"F","R")</f>
        <v>F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0.5" customHeight="1" x14ac:dyDescent="0.25">
      <c r="A8" s="14" t="s">
        <v>7</v>
      </c>
      <c r="B8" s="2" t="str">
        <f>IF('Coefficients (7.1.1)'!E4&lt;'Coefficients (7.1.1)'!D4,"F","R")</f>
        <v>F</v>
      </c>
      <c r="C8" s="3" t="str">
        <f>IF('Coefficients (7.1.1)'!E17&lt;'Coefficients (7.1.1)'!D17,"F","R")</f>
        <v>R</v>
      </c>
      <c r="D8" s="3" t="str">
        <f>IF('Coefficients (7.1.1)'!E30&lt;'Coefficients (7.1.1)'!D30,"F","R")</f>
        <v>R</v>
      </c>
      <c r="E8" s="3" t="str">
        <f>IF('Coefficients (7.1.1)'!E43&lt;'Coefficients (7.1.1)'!D43,"F","R")</f>
        <v>F</v>
      </c>
      <c r="F8" s="4" t="str">
        <f>IF('Coefficients (7.1.1)'!E56&lt;'Coefficients (7.1.1)'!D56,"F","R")</f>
        <v>F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0.5" customHeight="1" x14ac:dyDescent="0.25">
      <c r="A9" s="13"/>
      <c r="B9" s="5" t="str">
        <f>IF('Coefficients (7.1.1)'!E6&lt;'Coefficients (7.1.1)'!D6,"F","R")</f>
        <v>R</v>
      </c>
      <c r="C9" s="1" t="str">
        <f>IF('Coefficients (7.1.1)'!E19&lt;'Coefficients (7.1.1)'!D19,"F","R")</f>
        <v>R</v>
      </c>
      <c r="D9" s="1" t="str">
        <f>IF('Coefficients (7.1.1)'!E32&lt;'Coefficients (7.1.1)'!D32,"F","R")</f>
        <v>R</v>
      </c>
      <c r="E9" s="1" t="str">
        <f>IF('Coefficients (7.1.1)'!E45&lt;'Coefficients (7.1.1)'!D45,"F","R")</f>
        <v>F</v>
      </c>
      <c r="F9" s="6" t="str">
        <f>IF('Coefficients (7.1.1)'!E58&lt;'Coefficients (7.1.1)'!D58,"F","R")</f>
        <v>R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0.5" customHeight="1" x14ac:dyDescent="0.25">
      <c r="A10" s="13"/>
      <c r="B10" s="5" t="str">
        <f>IF('Coefficients (7.1.1)'!E8&lt;'Coefficients (7.1.1)'!D8,"F","R")</f>
        <v>F</v>
      </c>
      <c r="C10" s="1" t="str">
        <f>IF('Coefficients (7.1.1)'!E21&lt;'Coefficients (7.1.1)'!D21,"F","R")</f>
        <v>F</v>
      </c>
      <c r="D10" s="1" t="str">
        <f>IF('Coefficients (7.1.1)'!E34&lt;'Coefficients (7.1.1)'!D34,"F","R")</f>
        <v>R</v>
      </c>
      <c r="E10" s="1" t="str">
        <f>IF('Coefficients (7.1.1)'!E47&lt;'Coefficients (7.1.1)'!D47,"F","R")</f>
        <v>R</v>
      </c>
      <c r="F10" s="6" t="str">
        <f>IF('Coefficients (7.1.1)'!E60&lt;'Coefficients (7.1.1)'!D60,"F","R")</f>
        <v>R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0.5" customHeight="1" x14ac:dyDescent="0.25">
      <c r="A11" s="13"/>
      <c r="B11" s="5" t="str">
        <f>IF('Coefficients (7.1.1)'!E10&lt;'Coefficients (7.1.1)'!D10,"F","R")</f>
        <v>R</v>
      </c>
      <c r="C11" s="1" t="str">
        <f>IF('Coefficients (7.1.1)'!E23&lt;'Coefficients (7.1.1)'!D23,"F","R")</f>
        <v>R</v>
      </c>
      <c r="D11" s="1" t="str">
        <f>IF('Coefficients (7.1.1)'!E36&lt;'Coefficients (7.1.1)'!D36,"F","R")</f>
        <v>F</v>
      </c>
      <c r="E11" s="1" t="str">
        <f>IF('Coefficients (7.1.1)'!E49&lt;'Coefficients (7.1.1)'!D49,"F","R")</f>
        <v>F</v>
      </c>
      <c r="F11" s="6" t="str">
        <f>IF('Coefficients (7.1.1)'!E62&lt;'Coefficients (7.1.1)'!D62,"F","R")</f>
        <v>R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0.5" customHeight="1" x14ac:dyDescent="0.25">
      <c r="A12" s="13"/>
      <c r="B12" s="7" t="str">
        <f>IF('Coefficients (7.1.1)'!E12&lt;'Coefficients (7.1.1)'!D12,"F","R")</f>
        <v>R</v>
      </c>
      <c r="C12" s="8" t="str">
        <f>IF('Coefficients (7.1.1)'!E25&lt;'Coefficients (7.1.1)'!D25,"F","R")</f>
        <v>R</v>
      </c>
      <c r="D12" s="8" t="str">
        <f>IF('Coefficients (7.1.1)'!E38&lt;'Coefficients (7.1.1)'!D38,"F","R")</f>
        <v>F</v>
      </c>
      <c r="E12" s="8" t="str">
        <f>IF('Coefficients (7.1.1)'!E51&lt;'Coefficients (7.1.1)'!D51,"F","R")</f>
        <v>F</v>
      </c>
      <c r="F12" s="9" t="str">
        <f>IF('Coefficients (7.1.1)'!E64&lt;'Coefficients (7.1.1)'!D64,"F","R")</f>
        <v>F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0.5" customHeight="1" x14ac:dyDescent="0.25">
      <c r="A13" s="14" t="s">
        <v>8</v>
      </c>
      <c r="B13" s="2" t="str">
        <f>IF('Coefficients (7.1.1)'!G4&lt;'Coefficients (7.1.1)'!F4,"F","R")</f>
        <v>R</v>
      </c>
      <c r="C13" s="3" t="str">
        <f>IF('Coefficients (7.1.1)'!G17&lt;'Coefficients (7.1.1)'!F17,"F","R")</f>
        <v>F</v>
      </c>
      <c r="D13" s="3" t="str">
        <f>IF('Coefficients (7.1.1)'!G30&lt;'Coefficients (7.1.1)'!F30,"F","R")</f>
        <v>F</v>
      </c>
      <c r="E13" s="3" t="str">
        <f>IF('Coefficients (7.1.1)'!G43&lt;'Coefficients (7.1.1)'!F43,"F","R")</f>
        <v>F</v>
      </c>
      <c r="F13" s="4" t="str">
        <f>IF('Coefficients (7.1.1)'!G56&lt;'Coefficients (7.1.1)'!F56,"F","R")</f>
        <v>F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0.5" customHeight="1" x14ac:dyDescent="0.25">
      <c r="A14" s="13"/>
      <c r="B14" s="5" t="str">
        <f>IF('Coefficients (7.1.1)'!G6&lt;'Coefficients (7.1.1)'!F6,"F","R")</f>
        <v>R</v>
      </c>
      <c r="C14" s="1" t="str">
        <f>IF('Coefficients (7.1.1)'!G19&lt;'Coefficients (7.1.1)'!F19,"F","R")</f>
        <v>R</v>
      </c>
      <c r="D14" s="1" t="str">
        <f>IF('Coefficients (7.1.1)'!G32&lt;'Coefficients (7.1.1)'!F32,"F","R")</f>
        <v>R</v>
      </c>
      <c r="E14" s="1" t="str">
        <f>IF('Coefficients (7.1.1)'!G45&lt;'Coefficients (7.1.1)'!F45,"F","R")</f>
        <v>R</v>
      </c>
      <c r="F14" s="6" t="str">
        <f>IF('Coefficients (7.1.1)'!G58&lt;'Coefficients (7.1.1)'!F58,"F","R")</f>
        <v>R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0.5" customHeight="1" x14ac:dyDescent="0.25">
      <c r="A15" s="13"/>
      <c r="B15" s="5" t="str">
        <f>IF('Coefficients (7.1.1)'!G8&lt;'Coefficients (7.1.1)'!F8,"F","R")</f>
        <v>R</v>
      </c>
      <c r="C15" s="1" t="str">
        <f>IF('Coefficients (7.1.1)'!G21&lt;'Coefficients (7.1.1)'!F21,"F","R")</f>
        <v>F</v>
      </c>
      <c r="D15" s="1" t="str">
        <f>IF('Coefficients (7.1.1)'!G34&lt;'Coefficients (7.1.1)'!F34,"F","R")</f>
        <v>F</v>
      </c>
      <c r="E15" s="1" t="str">
        <f>IF('Coefficients (7.1.1)'!G47&lt;'Coefficients (7.1.1)'!F47,"F","R")</f>
        <v>F</v>
      </c>
      <c r="F15" s="6" t="str">
        <f>IF('Coefficients (7.1.1)'!G60&lt;'Coefficients (7.1.1)'!F60,"F","R")</f>
        <v>F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0.5" customHeight="1" x14ac:dyDescent="0.25">
      <c r="A16" s="13"/>
      <c r="B16" s="5" t="str">
        <f>IF('Coefficients (7.1.1)'!G10&lt;'Coefficients (7.1.1)'!F10,"F","R")</f>
        <v>R</v>
      </c>
      <c r="C16" s="1" t="str">
        <f>IF('Coefficients (7.1.1)'!G23&lt;'Coefficients (7.1.1)'!F23,"F","R")</f>
        <v>R</v>
      </c>
      <c r="D16" s="1" t="str">
        <f>IF('Coefficients (7.1.1)'!G36&lt;'Coefficients (7.1.1)'!F36,"F","R")</f>
        <v>R</v>
      </c>
      <c r="E16" s="1" t="str">
        <f>IF('Coefficients (7.1.1)'!G49&lt;'Coefficients (7.1.1)'!F49,"F","R")</f>
        <v>R</v>
      </c>
      <c r="F16" s="6" t="str">
        <f>IF('Coefficients (7.1.1)'!G62&lt;'Coefficients (7.1.1)'!F62,"F","R")</f>
        <v>R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0.5" customHeight="1" x14ac:dyDescent="0.25">
      <c r="A17" s="13"/>
      <c r="B17" s="7" t="str">
        <f>IF('Coefficients (7.1.1)'!G12&lt;'Coefficients (7.1.1)'!F12,"F","R")</f>
        <v>R</v>
      </c>
      <c r="C17" s="8" t="str">
        <f>IF('Coefficients (7.1.1)'!G25&lt;'Coefficients (7.1.1)'!F25,"F","R")</f>
        <v>F</v>
      </c>
      <c r="D17" s="8" t="str">
        <f>IF('Coefficients (7.1.1)'!G38&lt;'Coefficients (7.1.1)'!F38,"F","R")</f>
        <v>R</v>
      </c>
      <c r="E17" s="8" t="str">
        <f>IF('Coefficients (7.1.1)'!G51&lt;'Coefficients (7.1.1)'!F51,"F","R")</f>
        <v>F</v>
      </c>
      <c r="F17" s="9" t="str">
        <f>IF('Coefficients (7.1.1)'!G64&lt;'Coefficients (7.1.1)'!F64,"F","R")</f>
        <v>R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0.5" customHeight="1" x14ac:dyDescent="0.25">
      <c r="A18" s="14" t="s">
        <v>9</v>
      </c>
      <c r="B18" s="2" t="str">
        <f>IF('Coefficients (7.1.1)'!I4&lt;'Coefficients (7.1.1)'!H4,"F","R")</f>
        <v>R</v>
      </c>
      <c r="C18" s="3" t="str">
        <f>IF('Coefficients (7.1.1)'!I17&lt;'Coefficients (7.1.1)'!H17,"F","R")</f>
        <v>F</v>
      </c>
      <c r="D18" s="3" t="str">
        <f>IF('Coefficients (7.1.1)'!I30&lt;'Coefficients (7.1.1)'!H30,"F","R")</f>
        <v>F</v>
      </c>
      <c r="E18" s="3" t="str">
        <f>IF('Coefficients (7.1.1)'!I43&lt;'Coefficients (7.1.1)'!H43,"F","R")</f>
        <v>F</v>
      </c>
      <c r="F18" s="4" t="str">
        <f>IF('Coefficients (7.1.1)'!I56&lt;'Coefficients (7.1.1)'!H56,"F","R")</f>
        <v>F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0.5" customHeight="1" x14ac:dyDescent="0.25">
      <c r="A19" s="13"/>
      <c r="B19" s="5" t="str">
        <f>IF('Coefficients (7.1.1)'!I6&lt;'Coefficients (7.1.1)'!H6,"F","R")</f>
        <v>F</v>
      </c>
      <c r="C19" s="1" t="str">
        <f>IF('Coefficients (7.1.1)'!I19&lt;'Coefficients (7.1.1)'!H19,"F","R")</f>
        <v>R</v>
      </c>
      <c r="D19" s="1" t="str">
        <f>IF('Coefficients (7.1.1)'!I32&lt;'Coefficients (7.1.1)'!H32,"F","R")</f>
        <v>R</v>
      </c>
      <c r="E19" s="1" t="str">
        <f>IF('Coefficients (7.1.1)'!I45&lt;'Coefficients (7.1.1)'!H45,"F","R")</f>
        <v>F</v>
      </c>
      <c r="F19" s="6" t="str">
        <f>IF('Coefficients (7.1.1)'!I58&lt;'Coefficients (7.1.1)'!H58,"F","R")</f>
        <v>F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0.5" customHeight="1" x14ac:dyDescent="0.25">
      <c r="A20" s="13"/>
      <c r="B20" s="5" t="str">
        <f>IF('Coefficients (7.1.1)'!I8&lt;'Coefficients (7.1.1)'!H8,"F","R")</f>
        <v>R</v>
      </c>
      <c r="C20" s="1" t="str">
        <f>IF('Coefficients (7.1.1)'!I21&lt;'Coefficients (7.1.1)'!H21,"F","R")</f>
        <v>F</v>
      </c>
      <c r="D20" s="1" t="str">
        <f>IF('Coefficients (7.1.1)'!I34&lt;'Coefficients (7.1.1)'!H34,"F","R")</f>
        <v>F</v>
      </c>
      <c r="E20" s="1" t="str">
        <f>IF('Coefficients (7.1.1)'!I47&lt;'Coefficients (7.1.1)'!H47,"F","R")</f>
        <v>R</v>
      </c>
      <c r="F20" s="6" t="str">
        <f>IF('Coefficients (7.1.1)'!I60&lt;'Coefficients (7.1.1)'!H60,"F","R")</f>
        <v>F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0.5" customHeight="1" x14ac:dyDescent="0.25">
      <c r="A21" s="13"/>
      <c r="B21" s="5" t="str">
        <f>IF('Coefficients (7.1.1)'!I10&lt;'Coefficients (7.1.1)'!H10,"F","R")</f>
        <v>R</v>
      </c>
      <c r="C21" s="1" t="str">
        <f>IF('Coefficients (7.1.1)'!I23&lt;'Coefficients (7.1.1)'!H23,"F","R")</f>
        <v>R</v>
      </c>
      <c r="D21" s="1" t="str">
        <f>IF('Coefficients (7.1.1)'!I36&lt;'Coefficients (7.1.1)'!H36,"F","R")</f>
        <v>R</v>
      </c>
      <c r="E21" s="1" t="str">
        <f>IF('Coefficients (7.1.1)'!I49&lt;'Coefficients (7.1.1)'!H49,"F","R")</f>
        <v>R</v>
      </c>
      <c r="F21" s="6" t="str">
        <f>IF('Coefficients (7.1.1)'!I62&lt;'Coefficients (7.1.1)'!H62,"F","R")</f>
        <v>R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0.5" customHeight="1" x14ac:dyDescent="0.25">
      <c r="A22" s="13"/>
      <c r="B22" s="7" t="str">
        <f>IF('Coefficients (7.1.1)'!I12&lt;'Coefficients (7.1.1)'!H12,"F","R")</f>
        <v>R</v>
      </c>
      <c r="C22" s="8" t="str">
        <f>IF('Coefficients (7.1.1)'!I25&lt;'Coefficients (7.1.1)'!H25,"F","R")</f>
        <v>R</v>
      </c>
      <c r="D22" s="8" t="str">
        <f>IF('Coefficients (7.1.1)'!I38&lt;'Coefficients (7.1.1)'!H38,"F","R")</f>
        <v>R</v>
      </c>
      <c r="E22" s="8" t="str">
        <f>IF('Coefficients (7.1.1)'!I51&lt;'Coefficients (7.1.1)'!H51,"F","R")</f>
        <v>F</v>
      </c>
      <c r="F22" s="9" t="str">
        <f>IF('Coefficients (7.1.1)'!I64&lt;'Coefficients (7.1.1)'!H64,"F","R")</f>
        <v>R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0.5" customHeight="1" x14ac:dyDescent="0.25">
      <c r="A23" s="14" t="s">
        <v>10</v>
      </c>
      <c r="B23" s="2" t="str">
        <f>IF('Coefficients (7.1.1)'!K4&lt;'Coefficients (7.1.1)'!J4,"F","R")</f>
        <v>F</v>
      </c>
      <c r="C23" s="3" t="str">
        <f>IF('Coefficients (7.1.1)'!K17&lt;'Coefficients (7.1.1)'!J17,"F","R")</f>
        <v>F</v>
      </c>
      <c r="D23" s="3" t="str">
        <f>IF('Coefficients (7.1.1)'!K30&lt;'Coefficients (7.1.1)'!J30,"F","R")</f>
        <v>R</v>
      </c>
      <c r="E23" s="3" t="str">
        <f>IF('Coefficients (7.1.1)'!K43&lt;'Coefficients (7.1.1)'!J43,"F","R")</f>
        <v>F</v>
      </c>
      <c r="F23" s="4" t="str">
        <f>IF('Coefficients (7.1.1)'!K56&lt;'Coefficients (7.1.1)'!J56,"F","R")</f>
        <v>F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0.5" customHeight="1" x14ac:dyDescent="0.25">
      <c r="A24" s="13"/>
      <c r="B24" s="5" t="str">
        <f>IF('Coefficients (7.1.1)'!K6&lt;'Coefficients (7.1.1)'!J6,"F","R")</f>
        <v>R</v>
      </c>
      <c r="C24" s="1" t="str">
        <f>IF('Coefficients (7.1.1)'!K19&lt;'Coefficients (7.1.1)'!J19,"F","R")</f>
        <v>R</v>
      </c>
      <c r="D24" s="1" t="str">
        <f>IF('Coefficients (7.1.1)'!K32&lt;'Coefficients (7.1.1)'!J32,"F","R")</f>
        <v>R</v>
      </c>
      <c r="E24" s="1" t="str">
        <f>IF('Coefficients (7.1.1)'!K45&lt;'Coefficients (7.1.1)'!J45,"F","R")</f>
        <v>F</v>
      </c>
      <c r="F24" s="6" t="str">
        <f>IF('Coefficients (7.1.1)'!K58&lt;'Coefficients (7.1.1)'!J58,"F","R")</f>
        <v>R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0.5" customHeight="1" x14ac:dyDescent="0.25">
      <c r="A25" s="13"/>
      <c r="B25" s="5" t="str">
        <f>IF('Coefficients (7.1.1)'!K8&lt;'Coefficients (7.1.1)'!J8,"F","R")</f>
        <v>F</v>
      </c>
      <c r="C25" s="1" t="str">
        <f>IF('Coefficients (7.1.1)'!K21&lt;'Coefficients (7.1.1)'!J21,"F","R")</f>
        <v>F</v>
      </c>
      <c r="D25" s="1" t="str">
        <f>IF('Coefficients (7.1.1)'!K34&lt;'Coefficients (7.1.1)'!J34,"F","R")</f>
        <v>R</v>
      </c>
      <c r="E25" s="1" t="str">
        <f>IF('Coefficients (7.1.1)'!K47&lt;'Coefficients (7.1.1)'!J47,"F","R")</f>
        <v>F</v>
      </c>
      <c r="F25" s="6" t="str">
        <f>IF('Coefficients (7.1.1)'!K60&lt;'Coefficients (7.1.1)'!J60,"F","R")</f>
        <v>F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0.5" customHeight="1" x14ac:dyDescent="0.25">
      <c r="A26" s="13"/>
      <c r="B26" s="5" t="str">
        <f>IF('Coefficients (7.1.1)'!K10&lt;'Coefficients (7.1.1)'!J10,"F","R")</f>
        <v>R</v>
      </c>
      <c r="C26" s="1" t="str">
        <f>IF('Coefficients (7.1.1)'!K23&lt;'Coefficients (7.1.1)'!J23,"F","R")</f>
        <v>R</v>
      </c>
      <c r="D26" s="1" t="str">
        <f>IF('Coefficients (7.1.1)'!K36&lt;'Coefficients (7.1.1)'!J36,"F","R")</f>
        <v>R</v>
      </c>
      <c r="E26" s="1" t="str">
        <f>IF('Coefficients (7.1.1)'!K49&lt;'Coefficients (7.1.1)'!J49,"F","R")</f>
        <v>R</v>
      </c>
      <c r="F26" s="6" t="str">
        <f>IF('Coefficients (7.1.1)'!K62&lt;'Coefficients (7.1.1)'!J62,"F","R")</f>
        <v>R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0.5" customHeight="1" x14ac:dyDescent="0.25">
      <c r="A27" s="13"/>
      <c r="B27" s="7" t="str">
        <f>IF('Coefficients (7.1.1)'!K12&lt;'Coefficients (7.1.1)'!J12,"F","R")</f>
        <v>F</v>
      </c>
      <c r="C27" s="8" t="str">
        <f>IF('Coefficients (7.1.1)'!K25&lt;'Coefficients (7.1.1)'!J25,"F","R")</f>
        <v>R</v>
      </c>
      <c r="D27" s="8" t="str">
        <f>IF('Coefficients (7.1.1)'!K38&lt;'Coefficients (7.1.1)'!J38,"F","R")</f>
        <v>R</v>
      </c>
      <c r="E27" s="8" t="str">
        <f>IF('Coefficients (7.1.1)'!K51&lt;'Coefficients (7.1.1)'!J51,"F","R")</f>
        <v>R</v>
      </c>
      <c r="F27" s="9" t="str">
        <f>IF('Coefficients (7.1.1)'!K64&lt;'Coefficients (7.1.1)'!J64,"F","R")</f>
        <v>R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0.5" customHeight="1" x14ac:dyDescent="0.25">
      <c r="A28" s="14" t="s">
        <v>11</v>
      </c>
      <c r="B28" s="2" t="str">
        <f>IF('Coefficients (7.1.1)'!M4&lt;'Coefficients (7.1.1)'!L4,"F","R")</f>
        <v>R</v>
      </c>
      <c r="C28" s="3" t="str">
        <f>IF('Coefficients (7.1.1)'!M17&lt;'Coefficients (7.1.1)'!L17,"F","R")</f>
        <v>F</v>
      </c>
      <c r="D28" s="3" t="str">
        <f>IF('Coefficients (7.1.1)'!M30&lt;'Coefficients (7.1.1)'!L30,"F","R")</f>
        <v>R</v>
      </c>
      <c r="E28" s="3" t="str">
        <f>IF('Coefficients (7.1.1)'!M43&lt;'Coefficients (7.1.1)'!L43,"F","R")</f>
        <v>F</v>
      </c>
      <c r="F28" s="4" t="str">
        <f>IF('Coefficients (7.1.1)'!M56&lt;'Coefficients (7.1.1)'!L56,"F","R")</f>
        <v>F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0.5" customHeight="1" x14ac:dyDescent="0.25">
      <c r="A29" s="13"/>
      <c r="B29" s="5" t="str">
        <f>IF('Coefficients (7.1.1)'!M6&lt;'Coefficients (7.1.1)'!L6,"F","R")</f>
        <v>R</v>
      </c>
      <c r="C29" s="1" t="str">
        <f>IF('Coefficients (7.1.1)'!M19&lt;'Coefficients (7.1.1)'!L19,"F","R")</f>
        <v>R</v>
      </c>
      <c r="D29" s="1" t="str">
        <f>IF('Coefficients (7.1.1)'!M32&lt;'Coefficients (7.1.1)'!L32,"F","R")</f>
        <v>R</v>
      </c>
      <c r="E29" s="1" t="str">
        <f>IF('Coefficients (7.1.1)'!M45&lt;'Coefficients (7.1.1)'!L45,"F","R")</f>
        <v>R</v>
      </c>
      <c r="F29" s="6" t="str">
        <f>IF('Coefficients (7.1.1)'!M58&lt;'Coefficients (7.1.1)'!L58,"F","R")</f>
        <v>R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0.5" customHeight="1" x14ac:dyDescent="0.25">
      <c r="A30" s="13"/>
      <c r="B30" s="5" t="str">
        <f>IF('Coefficients (7.1.1)'!M8&lt;'Coefficients (7.1.1)'!L8,"F","R")</f>
        <v>F</v>
      </c>
      <c r="C30" s="1" t="str">
        <f>IF('Coefficients (7.1.1)'!M21&lt;'Coefficients (7.1.1)'!L21,"F","R")</f>
        <v>F</v>
      </c>
      <c r="D30" s="1" t="str">
        <f>IF('Coefficients (7.1.1)'!M34&lt;'Coefficients (7.1.1)'!L34,"F","R")</f>
        <v>R</v>
      </c>
      <c r="E30" s="1" t="str">
        <f>IF('Coefficients (7.1.1)'!M47&lt;'Coefficients (7.1.1)'!L47,"F","R")</f>
        <v>F</v>
      </c>
      <c r="F30" s="6" t="str">
        <f>IF('Coefficients (7.1.1)'!M60&lt;'Coefficients (7.1.1)'!L60,"F","R")</f>
        <v>F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0.5" customHeight="1" x14ac:dyDescent="0.25">
      <c r="A31" s="13"/>
      <c r="B31" s="5" t="str">
        <f>IF('Coefficients (7.1.1)'!M10&lt;'Coefficients (7.1.1)'!L10,"F","R")</f>
        <v>R</v>
      </c>
      <c r="C31" s="1" t="str">
        <f>IF('Coefficients (7.1.1)'!M23&lt;'Coefficients (7.1.1)'!L23,"F","R")</f>
        <v>R</v>
      </c>
      <c r="D31" s="1" t="str">
        <f>IF('Coefficients (7.1.1)'!M36&lt;'Coefficients (7.1.1)'!L36,"F","R")</f>
        <v>R</v>
      </c>
      <c r="E31" s="1" t="str">
        <f>IF('Coefficients (7.1.1)'!M49&lt;'Coefficients (7.1.1)'!L49,"F","R")</f>
        <v>R</v>
      </c>
      <c r="F31" s="6" t="str">
        <f>IF('Coefficients (7.1.1)'!M62&lt;'Coefficients (7.1.1)'!L62,"F","R")</f>
        <v>R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0.5" customHeight="1" x14ac:dyDescent="0.25">
      <c r="A32" s="13"/>
      <c r="B32" s="7" t="str">
        <f>IF('Coefficients (7.1.1)'!M12&lt;'Coefficients (7.1.1)'!L12,"F","R")</f>
        <v>R</v>
      </c>
      <c r="C32" s="8" t="str">
        <f>IF('Coefficients (7.1.1)'!M25&lt;'Coefficients (7.1.1)'!L25,"F","R")</f>
        <v>R</v>
      </c>
      <c r="D32" s="8" t="str">
        <f>IF('Coefficients (7.1.1)'!M38&lt;'Coefficients (7.1.1)'!L38,"F","R")</f>
        <v>R</v>
      </c>
      <c r="E32" s="8" t="str">
        <f>IF('Coefficients (7.1.1)'!M51&lt;'Coefficients (7.1.1)'!L51,"F","R")</f>
        <v>R</v>
      </c>
      <c r="F32" s="9" t="str">
        <f>IF('Coefficients (7.1.1)'!M64&lt;'Coefficients (7.1.1)'!L64,"F","R")</f>
        <v>R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0.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0.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0.5" customHeight="1" x14ac:dyDescent="0.25">
      <c r="A35" s="1"/>
      <c r="B35" s="1" t="s">
        <v>12</v>
      </c>
      <c r="C35" s="1" t="s">
        <v>13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0.5" customHeight="1" x14ac:dyDescent="0.25">
      <c r="A36" s="1" t="s">
        <v>29</v>
      </c>
      <c r="B36" s="10">
        <f t="shared" ref="B36:B40" si="0">(COUNTIF(B3:F3,"F")+COUNTIF(B8:F8,"F")+COUNTIF(B13:F13,"F")+COUNTIF(B18:F18,"F")+COUNTIF(B23:F23,"F")+COUNTIF(B28:F28,"F"))/30</f>
        <v>0.76666666666666672</v>
      </c>
      <c r="C36" s="10">
        <f t="shared" ref="C36:C40" si="1">(COUNTIF(B3:F3,"R")+COUNTIF(B8:F8,"R")+COUNTIF(B13:F13,"R")+COUNTIF(B18:F18,"R")+COUNTIF(B23:F23,"R")+COUNTIF(B28:F28,"R"))/30</f>
        <v>0.23333333333333334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0.5" customHeight="1" x14ac:dyDescent="0.25">
      <c r="A37" s="1" t="s">
        <v>25</v>
      </c>
      <c r="B37" s="10">
        <f t="shared" si="0"/>
        <v>0.26666666666666666</v>
      </c>
      <c r="C37" s="10">
        <f t="shared" si="1"/>
        <v>0.73333333333333328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0.5" customHeight="1" x14ac:dyDescent="0.25">
      <c r="A38" s="1" t="s">
        <v>30</v>
      </c>
      <c r="B38" s="10">
        <f t="shared" si="0"/>
        <v>0.6</v>
      </c>
      <c r="C38" s="10">
        <f t="shared" si="1"/>
        <v>0.4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0.5" customHeight="1" x14ac:dyDescent="0.25">
      <c r="A39" s="1" t="s">
        <v>31</v>
      </c>
      <c r="B39" s="10">
        <f t="shared" si="0"/>
        <v>0.1</v>
      </c>
      <c r="C39" s="10">
        <f t="shared" si="1"/>
        <v>0.9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0.5" customHeight="1" x14ac:dyDescent="0.25">
      <c r="A40" s="1" t="s">
        <v>32</v>
      </c>
      <c r="B40" s="10">
        <f t="shared" si="0"/>
        <v>0.36666666666666664</v>
      </c>
      <c r="C40" s="10">
        <f t="shared" si="1"/>
        <v>0.6333333333333333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0.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0.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0.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0.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0.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0.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0.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0.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0.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0.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0.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0.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0.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0.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0.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0.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0.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0.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0.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0.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0.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0.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0.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0.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0.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0.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0.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0.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0.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0.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0.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0.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0.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0.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0.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0.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0.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0.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0.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0.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0.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0.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0.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0.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0.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0.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0.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0.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0.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0.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0.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0.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0.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0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0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0.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0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0.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0.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0.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0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0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0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0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0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0.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0.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0.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0.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0.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0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0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0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0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0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0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0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0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0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0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0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0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0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0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0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0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0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0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0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0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0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0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0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0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0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0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0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0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0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0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0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0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0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0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0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0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0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0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0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0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0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0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0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0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0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0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0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0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0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0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0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0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0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0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0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0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0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0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0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0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0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0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0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0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0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0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0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0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0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0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0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0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0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0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0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0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0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0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0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0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0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0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0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0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0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0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0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0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0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0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0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0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0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0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0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0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0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0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0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0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0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0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0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0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0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0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0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0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0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0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0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0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0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0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0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0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0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0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0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0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0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0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0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0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0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0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0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0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0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0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0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0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0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0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0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0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0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0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0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0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0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0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0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0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0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0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0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0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0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0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0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0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0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0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0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0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0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0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0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0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0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0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0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0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0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0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0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0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0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0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0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0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0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0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0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0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0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0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0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0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0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0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0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0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0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0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0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0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0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0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0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0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0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0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0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0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0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0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0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0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0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0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0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0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0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0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0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0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0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0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0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0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0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0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0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0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0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0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0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0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0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0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0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0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0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0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0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0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0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0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0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0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0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0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0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0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0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0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0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0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0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0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0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0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0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0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0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0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0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0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0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0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0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0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0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0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0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0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0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0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0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0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0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0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0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0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0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0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0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0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0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0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0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0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0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0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0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0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0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0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0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0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0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0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0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0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0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0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0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0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0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0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0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0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0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0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0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0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0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0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0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0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0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0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0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0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0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0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0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0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0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0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0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0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0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0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0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0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0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0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0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0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0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0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0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0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0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0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0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0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0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0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0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0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0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0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0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0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0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0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0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0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0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0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0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0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0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0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0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0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0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0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0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0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0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0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0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0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0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0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0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0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0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0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0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0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0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0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0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0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0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0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0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0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0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0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0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0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0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0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0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0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0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0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0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0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0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0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0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0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0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0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0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0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0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0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0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0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0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0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0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0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0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0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0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0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0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0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0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0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0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0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0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0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0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0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0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0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0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0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0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0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0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0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0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0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0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0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0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0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0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0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0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0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0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0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0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0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0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0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0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0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0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0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0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0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0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0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0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0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0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0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0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0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0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0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0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0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0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0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0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0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0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0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0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0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0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0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0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0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0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0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0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0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0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0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0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0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0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0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0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0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0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0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0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0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0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0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0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0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0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0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0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0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0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0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0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0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0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0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0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0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0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0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0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0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0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0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0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0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0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0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0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0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0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0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0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0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0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0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0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0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0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0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0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0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0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0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0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0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0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0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0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0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0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0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0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0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0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0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0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0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0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0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0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0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0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0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0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0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0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0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0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0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0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0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0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0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0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0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0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0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0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0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0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0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0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0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0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0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0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0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0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0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0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0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0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0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0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0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0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0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0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0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0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0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0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0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0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0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0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0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0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0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0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0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0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0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0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0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0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0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0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0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0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0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0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0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0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0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0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0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0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0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0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0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0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0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0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0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0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0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0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0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0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0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0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0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0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0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0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0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0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0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0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0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0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0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0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0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0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0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0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0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0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0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0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0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0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0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0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0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0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0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0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0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0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0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0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0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0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0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0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0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0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0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0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0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0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0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0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0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0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0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0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0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0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0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0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0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0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0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0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0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0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0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0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0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0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0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0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0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0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0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0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0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0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0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0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0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0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0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0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0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0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0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0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0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0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0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0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0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0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0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0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0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0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0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0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0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0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0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0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0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0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0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0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0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0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0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0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0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0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0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0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0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0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0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0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0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0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0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0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0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0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0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0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0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0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0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0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0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0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0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0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0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0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0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0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0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0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0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0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0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0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0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0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0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0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0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0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0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0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0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0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0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0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0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0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0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0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0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0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0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0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0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0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0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0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0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0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0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0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0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0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0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0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0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0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0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0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0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0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0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0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0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0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0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0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0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0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0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0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0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0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0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0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0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0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0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0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0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0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0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0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0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0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0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0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0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0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0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0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0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0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0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0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0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0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0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0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0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0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0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0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0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0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0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0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0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0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0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0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0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0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0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0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0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0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0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0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0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0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0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0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0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0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0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0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0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0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0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0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0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0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0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0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0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0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0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0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0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0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0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0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0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0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0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0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0.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A23:A27"/>
    <mergeCell ref="A28:A32"/>
    <mergeCell ref="B1:F1"/>
    <mergeCell ref="A3:A7"/>
    <mergeCell ref="A8:A12"/>
    <mergeCell ref="A13:A17"/>
    <mergeCell ref="A18:A22"/>
  </mergeCells>
  <pageMargins left="0.7" right="0.7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2578125" defaultRowHeight="15" customHeight="1" x14ac:dyDescent="0.25"/>
  <cols>
    <col min="1" max="1" width="28.42578125" customWidth="1"/>
    <col min="2" max="11" width="10.28515625" customWidth="1"/>
    <col min="12" max="12" width="9.5703125" customWidth="1"/>
    <col min="13" max="13" width="10.28515625" customWidth="1"/>
    <col min="14" max="26" width="8.7109375" customWidth="1"/>
  </cols>
  <sheetData>
    <row r="1" spans="1:26" x14ac:dyDescent="0.25">
      <c r="A1" s="1"/>
      <c r="B1" s="11" t="s">
        <v>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5" t="s">
        <v>33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1" t="s">
        <v>6</v>
      </c>
      <c r="C3" s="11"/>
      <c r="D3" s="11" t="s">
        <v>7</v>
      </c>
      <c r="E3" s="11"/>
      <c r="F3" s="11" t="s">
        <v>8</v>
      </c>
      <c r="G3" s="11"/>
      <c r="H3" s="11" t="s">
        <v>9</v>
      </c>
      <c r="I3" s="11"/>
      <c r="J3" s="11" t="s">
        <v>10</v>
      </c>
      <c r="K3" s="11"/>
      <c r="L3" s="11" t="s">
        <v>11</v>
      </c>
      <c r="M3" s="1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 t="s">
        <v>14</v>
      </c>
      <c r="B4" s="11">
        <v>-1.9800000000000002E-2</v>
      </c>
      <c r="C4" s="11">
        <v>2.8799999999999999E-2</v>
      </c>
      <c r="D4" s="11">
        <v>-3.7900000000000003E-2</v>
      </c>
      <c r="E4" s="11">
        <v>-1.1299999999999999E-2</v>
      </c>
      <c r="F4" s="11">
        <v>-4.0800000000000003E-2</v>
      </c>
      <c r="G4" s="11">
        <v>3.5400000000000001E-2</v>
      </c>
      <c r="H4" s="11">
        <v>-4.19E-2</v>
      </c>
      <c r="I4" s="11">
        <v>-1.01E-2</v>
      </c>
      <c r="J4" s="11">
        <v>-2.0199999999999999E-2</v>
      </c>
      <c r="K4" s="11">
        <v>3.0000000000000001E-3</v>
      </c>
      <c r="L4" s="11">
        <v>-1.4E-2</v>
      </c>
      <c r="M4" s="11">
        <v>-2.93E-2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1">
        <v>-1.77E-2</v>
      </c>
      <c r="C5" s="11">
        <v>-2.63E-2</v>
      </c>
      <c r="D5" s="11">
        <v>-1.7500000000000002E-2</v>
      </c>
      <c r="E5" s="11">
        <v>-2.3699999999999999E-2</v>
      </c>
      <c r="F5" s="11">
        <v>-1.7600000000000001E-2</v>
      </c>
      <c r="G5" s="11">
        <v>-2.6100000000000002E-2</v>
      </c>
      <c r="H5" s="11">
        <v>-1.7999999999999999E-2</v>
      </c>
      <c r="I5" s="11">
        <v>-2.2599999999999999E-2</v>
      </c>
      <c r="J5" s="11">
        <v>-1.72E-2</v>
      </c>
      <c r="K5" s="11">
        <v>-2.47E-2</v>
      </c>
      <c r="L5" s="11">
        <v>-1.6400000000000001E-2</v>
      </c>
      <c r="M5" s="11">
        <v>-2.58E-2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 t="s">
        <v>15</v>
      </c>
      <c r="B6" s="11">
        <v>-5.5599999999999997E-2</v>
      </c>
      <c r="C6" s="11">
        <v>4.5999999999999999E-2</v>
      </c>
      <c r="D6" s="11">
        <v>-5.2699999999999997E-2</v>
      </c>
      <c r="E6" s="11">
        <v>-6.1499999999999999E-2</v>
      </c>
      <c r="F6" s="11">
        <v>-7.7899999999999997E-2</v>
      </c>
      <c r="G6" s="11">
        <v>-4.7600000000000003E-2</v>
      </c>
      <c r="H6" s="11">
        <v>-7.7200000000000005E-2</v>
      </c>
      <c r="I6" s="11">
        <v>1.17E-2</v>
      </c>
      <c r="J6" s="11">
        <v>-6.5799999999999997E-2</v>
      </c>
      <c r="K6" s="11">
        <v>4.0399999999999998E-2</v>
      </c>
      <c r="L6" s="11">
        <v>7.1999999999999998E-3</v>
      </c>
      <c r="M6" s="11">
        <v>1.2800000000000001E-2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1">
        <v>-2.7300000000000001E-2</v>
      </c>
      <c r="C7" s="11">
        <v>-0.04</v>
      </c>
      <c r="D7" s="11">
        <v>-2.5899999999999999E-2</v>
      </c>
      <c r="E7" s="11">
        <v>-4.2599999999999999E-2</v>
      </c>
      <c r="F7" s="11">
        <v>-2.53E-2</v>
      </c>
      <c r="G7" s="11">
        <v>-3.73E-2</v>
      </c>
      <c r="H7" s="11">
        <v>-2.75E-2</v>
      </c>
      <c r="I7" s="11">
        <v>-0.04</v>
      </c>
      <c r="J7" s="11">
        <v>-2.4799999999999999E-2</v>
      </c>
      <c r="K7" s="11">
        <v>-4.24E-2</v>
      </c>
      <c r="L7" s="11">
        <v>-2.29E-2</v>
      </c>
      <c r="M7" s="11">
        <v>-4.3999999999999997E-2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 t="s">
        <v>16</v>
      </c>
      <c r="B8" s="11">
        <v>-2.3199999999999998E-2</v>
      </c>
      <c r="C8" s="11">
        <v>-8.6999999999999994E-3</v>
      </c>
      <c r="D8" s="11">
        <v>-4.8899999999999999E-2</v>
      </c>
      <c r="E8" s="11">
        <v>-6.8199999999999997E-2</v>
      </c>
      <c r="F8" s="11">
        <v>-4.7100000000000003E-2</v>
      </c>
      <c r="G8" s="11">
        <v>-5.8999999999999997E-2</v>
      </c>
      <c r="H8" s="11">
        <v>-6.0600000000000001E-2</v>
      </c>
      <c r="I8" s="11">
        <v>-4.4200000000000003E-2</v>
      </c>
      <c r="J8" s="11">
        <v>-2.3400000000000001E-2</v>
      </c>
      <c r="K8" s="11">
        <v>-9.7699999999999995E-2</v>
      </c>
      <c r="L8" s="11">
        <v>-3.78E-2</v>
      </c>
      <c r="M8" s="11">
        <v>-1.17E-2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1">
        <v>-3.6400000000000002E-2</v>
      </c>
      <c r="C9" s="11">
        <v>-6.0900000000000003E-2</v>
      </c>
      <c r="D9" s="11">
        <v>-3.9399999999999998E-2</v>
      </c>
      <c r="E9" s="11">
        <v>-5.1299999999999998E-2</v>
      </c>
      <c r="F9" s="11">
        <v>-3.8100000000000002E-2</v>
      </c>
      <c r="G9" s="11">
        <v>-5.3600000000000002E-2</v>
      </c>
      <c r="H9" s="11">
        <v>-4.0800000000000003E-2</v>
      </c>
      <c r="I9" s="11">
        <v>-4.87E-2</v>
      </c>
      <c r="J9" s="11">
        <v>-3.9100000000000003E-2</v>
      </c>
      <c r="K9" s="11">
        <v>-5.45E-2</v>
      </c>
      <c r="L9" s="11">
        <v>-3.5299999999999998E-2</v>
      </c>
      <c r="M9" s="11">
        <v>-5.0900000000000001E-2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 t="s">
        <v>17</v>
      </c>
      <c r="B10" s="11">
        <v>0.48849999999999999</v>
      </c>
      <c r="C10" s="11">
        <v>1.2784</v>
      </c>
      <c r="D10" s="11">
        <v>0.76929999999999998</v>
      </c>
      <c r="E10" s="11">
        <v>0.84350000000000003</v>
      </c>
      <c r="F10" s="11">
        <v>0.64780000000000004</v>
      </c>
      <c r="G10" s="11">
        <v>1.1348</v>
      </c>
      <c r="H10" s="11">
        <v>0.88819999999999999</v>
      </c>
      <c r="I10" s="11">
        <v>0.91120000000000001</v>
      </c>
      <c r="J10" s="11">
        <v>0.51500000000000001</v>
      </c>
      <c r="K10" s="11">
        <v>0.78390000000000004</v>
      </c>
      <c r="L10" s="11">
        <v>0.60229999999999995</v>
      </c>
      <c r="M10" s="11">
        <v>0.80259999999999998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11">
        <v>-0.1027</v>
      </c>
      <c r="C11" s="11">
        <v>-0.1043</v>
      </c>
      <c r="D11" s="11">
        <v>-9.6799999999999997E-2</v>
      </c>
      <c r="E11" s="11">
        <v>-0.1096</v>
      </c>
      <c r="F11" s="11">
        <v>-9.8100000000000007E-2</v>
      </c>
      <c r="G11" s="11">
        <v>-0.1142</v>
      </c>
      <c r="H11" s="11">
        <v>-9.5500000000000002E-2</v>
      </c>
      <c r="I11" s="11">
        <v>-0.1048</v>
      </c>
      <c r="J11" s="11">
        <v>-9.7100000000000006E-2</v>
      </c>
      <c r="K11" s="11">
        <v>-9.7799999999999998E-2</v>
      </c>
      <c r="L11" s="11">
        <v>-8.48E-2</v>
      </c>
      <c r="M11" s="11">
        <v>-0.11509999999999999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 t="s">
        <v>18</v>
      </c>
      <c r="B12" s="11">
        <v>-6.25E-2</v>
      </c>
      <c r="C12" s="11">
        <v>-0.25519999999999998</v>
      </c>
      <c r="D12" s="11">
        <v>-3.2199999999999999E-2</v>
      </c>
      <c r="E12" s="11">
        <v>2.58E-2</v>
      </c>
      <c r="F12" s="11">
        <v>1.4200000000000001E-2</v>
      </c>
      <c r="G12" s="11">
        <v>-4.6199999999999998E-2</v>
      </c>
      <c r="H12" s="11">
        <v>-2.7000000000000001E-3</v>
      </c>
      <c r="I12" s="11">
        <v>-9.2999999999999999E-2</v>
      </c>
      <c r="J12" s="11">
        <v>-8.2799999999999999E-2</v>
      </c>
      <c r="K12" s="11">
        <v>-4.3400000000000001E-2</v>
      </c>
      <c r="L12" s="11">
        <v>-0.27179999999999999</v>
      </c>
      <c r="M12" s="11">
        <v>-0.19639999999999999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1">
        <v>-4.7199999999999999E-2</v>
      </c>
      <c r="C13" s="11">
        <v>-6.6600000000000006E-2</v>
      </c>
      <c r="D13" s="11">
        <v>-4.0800000000000003E-2</v>
      </c>
      <c r="E13" s="11">
        <v>-6.1100000000000002E-2</v>
      </c>
      <c r="F13" s="11">
        <v>-4.1700000000000001E-2</v>
      </c>
      <c r="G13" s="11">
        <v>-5.7500000000000002E-2</v>
      </c>
      <c r="H13" s="11">
        <v>-4.5900000000000003E-2</v>
      </c>
      <c r="I13" s="11">
        <v>-6.3E-2</v>
      </c>
      <c r="J13" s="11">
        <v>-3.9199999999999999E-2</v>
      </c>
      <c r="K13" s="11">
        <v>-6.3799999999999996E-2</v>
      </c>
      <c r="L13" s="11">
        <v>-5.1200000000000002E-2</v>
      </c>
      <c r="M13" s="11">
        <v>-8.6699999999999999E-2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5" t="s">
        <v>34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1" t="s">
        <v>6</v>
      </c>
      <c r="C16" s="11"/>
      <c r="D16" s="11" t="s">
        <v>7</v>
      </c>
      <c r="E16" s="11"/>
      <c r="F16" s="11" t="s">
        <v>8</v>
      </c>
      <c r="G16" s="11"/>
      <c r="H16" s="11" t="s">
        <v>9</v>
      </c>
      <c r="I16" s="11"/>
      <c r="J16" s="11" t="s">
        <v>10</v>
      </c>
      <c r="K16" s="11"/>
      <c r="L16" s="11" t="s">
        <v>11</v>
      </c>
      <c r="M16" s="1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 t="s">
        <v>14</v>
      </c>
      <c r="B17" s="11">
        <v>-3.0099999999999998E-2</v>
      </c>
      <c r="C17" s="11">
        <v>-6.1000000000000004E-3</v>
      </c>
      <c r="D17" s="11">
        <v>-4.5499999999999999E-2</v>
      </c>
      <c r="E17" s="11">
        <v>-4.3299999999999998E-2</v>
      </c>
      <c r="F17" s="11">
        <v>-3.9E-2</v>
      </c>
      <c r="G17" s="11">
        <v>-2.1100000000000001E-2</v>
      </c>
      <c r="H17" s="11">
        <v>-5.1900000000000002E-2</v>
      </c>
      <c r="I17" s="11">
        <v>-3.2099999999999997E-2</v>
      </c>
      <c r="J17" s="11">
        <v>-3.9699999999999999E-2</v>
      </c>
      <c r="K17" s="11">
        <v>-3.2899999999999999E-2</v>
      </c>
      <c r="L17" s="11">
        <v>-1.6299999999999999E-2</v>
      </c>
      <c r="M17" s="11">
        <v>-1.54E-2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1">
        <v>-1.66E-2</v>
      </c>
      <c r="C18" s="11">
        <v>-1.6299999999999999E-2</v>
      </c>
      <c r="D18" s="11">
        <v>-1.6500000000000001E-2</v>
      </c>
      <c r="E18" s="11">
        <v>-2.0400000000000001E-2</v>
      </c>
      <c r="F18" s="11">
        <v>-1.6899999999999998E-2</v>
      </c>
      <c r="G18" s="11">
        <v>-2.2599999999999999E-2</v>
      </c>
      <c r="H18" s="11">
        <v>-1.6299999999999999E-2</v>
      </c>
      <c r="I18" s="11">
        <v>-1.89E-2</v>
      </c>
      <c r="J18" s="11">
        <v>-1.5699999999999999E-2</v>
      </c>
      <c r="K18" s="11">
        <v>-1.9699999999999999E-2</v>
      </c>
      <c r="L18" s="11">
        <v>-1.5100000000000001E-2</v>
      </c>
      <c r="M18" s="11">
        <v>-1.89E-2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 t="s">
        <v>15</v>
      </c>
      <c r="B19" s="11">
        <v>-4.7E-2</v>
      </c>
      <c r="C19" s="11">
        <v>2.2599999999999999E-2</v>
      </c>
      <c r="D19" s="11">
        <v>-4.2299999999999997E-2</v>
      </c>
      <c r="E19" s="11">
        <v>-5.3800000000000001E-2</v>
      </c>
      <c r="F19" s="11">
        <v>-7.5300000000000006E-2</v>
      </c>
      <c r="G19" s="11">
        <v>-7.9000000000000001E-2</v>
      </c>
      <c r="H19" s="11">
        <v>-5.3499999999999999E-2</v>
      </c>
      <c r="I19" s="11">
        <v>-5.8599999999999999E-2</v>
      </c>
      <c r="J19" s="11">
        <v>-2.8899999999999999E-2</v>
      </c>
      <c r="K19" s="11">
        <v>-4.4900000000000002E-2</v>
      </c>
      <c r="L19" s="11">
        <v>-2.7000000000000001E-3</v>
      </c>
      <c r="M19" s="11">
        <v>1.77E-2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1">
        <v>-2.5100000000000001E-2</v>
      </c>
      <c r="C20" s="11">
        <v>-3.32E-2</v>
      </c>
      <c r="D20" s="11">
        <v>-2.3800000000000002E-2</v>
      </c>
      <c r="E20" s="11">
        <v>-3.6499999999999998E-2</v>
      </c>
      <c r="F20" s="11">
        <v>-2.4199999999999999E-2</v>
      </c>
      <c r="G20" s="11">
        <v>-2.87E-2</v>
      </c>
      <c r="H20" s="11">
        <v>-2.35E-2</v>
      </c>
      <c r="I20" s="11">
        <v>-3.56E-2</v>
      </c>
      <c r="J20" s="11">
        <v>-2.2700000000000001E-2</v>
      </c>
      <c r="K20" s="11">
        <v>-2.87E-2</v>
      </c>
      <c r="L20" s="11">
        <v>-2.1399999999999999E-2</v>
      </c>
      <c r="M20" s="11">
        <v>-3.5700000000000003E-2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 t="s">
        <v>20</v>
      </c>
      <c r="B21" s="11">
        <v>-1.3299999999999999E-2</v>
      </c>
      <c r="C21" s="11">
        <v>-1.84E-2</v>
      </c>
      <c r="D21" s="11">
        <v>-2.3800000000000002E-2</v>
      </c>
      <c r="E21" s="11">
        <v>-0.1033</v>
      </c>
      <c r="F21" s="11">
        <v>-4.1399999999999999E-2</v>
      </c>
      <c r="G21" s="11">
        <v>-8.2299999999999998E-2</v>
      </c>
      <c r="H21" s="11">
        <v>-2.63E-2</v>
      </c>
      <c r="I21" s="11">
        <v>-6.2E-2</v>
      </c>
      <c r="J21" s="11">
        <v>-0.02</v>
      </c>
      <c r="K21" s="11">
        <v>-6.3899999999999998E-2</v>
      </c>
      <c r="L21" s="11">
        <v>-1.9900000000000001E-2</v>
      </c>
      <c r="M21" s="11">
        <v>-2.0000000000000001E-4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1">
        <v>-3.7499999999999999E-2</v>
      </c>
      <c r="C22" s="11">
        <v>-4.99E-2</v>
      </c>
      <c r="D22" s="11">
        <v>-3.8699999999999998E-2</v>
      </c>
      <c r="E22" s="11">
        <v>-4.1200000000000001E-2</v>
      </c>
      <c r="F22" s="11">
        <v>-3.85E-2</v>
      </c>
      <c r="G22" s="11">
        <v>-5.2499999999999998E-2</v>
      </c>
      <c r="H22" s="11">
        <v>-3.7900000000000003E-2</v>
      </c>
      <c r="I22" s="11">
        <v>-4.2700000000000002E-2</v>
      </c>
      <c r="J22" s="11">
        <v>-3.8899999999999997E-2</v>
      </c>
      <c r="K22" s="11">
        <v>-5.28E-2</v>
      </c>
      <c r="L22" s="11">
        <v>-3.5499999999999997E-2</v>
      </c>
      <c r="M22" s="11">
        <v>-5.5100000000000003E-2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 t="s">
        <v>21</v>
      </c>
      <c r="B23" s="11">
        <v>0.70379999999999998</v>
      </c>
      <c r="C23" s="11">
        <v>1.2775000000000001</v>
      </c>
      <c r="D23" s="11">
        <v>0.69679999999999997</v>
      </c>
      <c r="E23" s="11">
        <v>0.77900000000000003</v>
      </c>
      <c r="F23" s="11">
        <v>0.71740000000000004</v>
      </c>
      <c r="G23" s="11">
        <v>1.1427</v>
      </c>
      <c r="H23" s="11">
        <v>0.7238</v>
      </c>
      <c r="I23" s="11">
        <v>0.97550000000000003</v>
      </c>
      <c r="J23" s="11">
        <v>0.68679999999999997</v>
      </c>
      <c r="K23" s="11">
        <v>0.67920000000000003</v>
      </c>
      <c r="L23" s="11">
        <v>0.66549999999999998</v>
      </c>
      <c r="M23" s="11">
        <v>0.75700000000000001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1">
        <v>-8.72E-2</v>
      </c>
      <c r="C24" s="11">
        <v>-7.8600000000000003E-2</v>
      </c>
      <c r="D24" s="11">
        <v>-8.3299999999999999E-2</v>
      </c>
      <c r="E24" s="11">
        <v>-0.1081</v>
      </c>
      <c r="F24" s="11">
        <v>-8.8499999999999995E-2</v>
      </c>
      <c r="G24" s="11">
        <v>-0.10059999999999999</v>
      </c>
      <c r="H24" s="11">
        <v>-8.2500000000000004E-2</v>
      </c>
      <c r="I24" s="11">
        <v>-9.1499999999999998E-2</v>
      </c>
      <c r="J24" s="11">
        <v>-8.1900000000000001E-2</v>
      </c>
      <c r="K24" s="11">
        <v>-9.0800000000000006E-2</v>
      </c>
      <c r="L24" s="11">
        <v>-7.7799999999999994E-2</v>
      </c>
      <c r="M24" s="11">
        <v>-9.6500000000000002E-2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 t="s">
        <v>22</v>
      </c>
      <c r="B25" s="11">
        <v>-5.7000000000000002E-2</v>
      </c>
      <c r="C25" s="11">
        <v>-0.27879999999999999</v>
      </c>
      <c r="D25" s="11">
        <v>-5.7299999999999997E-2</v>
      </c>
      <c r="E25" s="11">
        <v>-5.3699999999999998E-2</v>
      </c>
      <c r="F25" s="11">
        <v>-1.2E-2</v>
      </c>
      <c r="G25" s="11">
        <v>-7.6499999999999999E-2</v>
      </c>
      <c r="H25" s="11">
        <v>-3.3399999999999999E-2</v>
      </c>
      <c r="I25" s="11">
        <v>-8.6599999999999996E-2</v>
      </c>
      <c r="J25" s="11">
        <v>-8.6699999999999999E-2</v>
      </c>
      <c r="K25" s="11">
        <v>-7.0099999999999996E-2</v>
      </c>
      <c r="L25" s="11">
        <v>-0.23599999999999999</v>
      </c>
      <c r="M25" s="11">
        <v>-0.27400000000000002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1">
        <v>-4.3499999999999997E-2</v>
      </c>
      <c r="C26" s="11">
        <v>-6.2100000000000002E-2</v>
      </c>
      <c r="D26" s="11">
        <v>-3.6299999999999999E-2</v>
      </c>
      <c r="E26" s="11">
        <v>-6.0699999999999997E-2</v>
      </c>
      <c r="F26" s="11">
        <v>-4.1300000000000003E-2</v>
      </c>
      <c r="G26" s="11">
        <v>-4.7899999999999998E-2</v>
      </c>
      <c r="H26" s="11">
        <v>-3.8100000000000002E-2</v>
      </c>
      <c r="I26" s="11">
        <v>-5.8799999999999998E-2</v>
      </c>
      <c r="J26" s="11">
        <v>-3.5400000000000001E-2</v>
      </c>
      <c r="K26" s="11">
        <v>-5.2200000000000003E-2</v>
      </c>
      <c r="L26" s="11">
        <v>-4.6800000000000001E-2</v>
      </c>
      <c r="M26" s="11">
        <v>-7.3999999999999996E-2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5" t="s">
        <v>35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1" t="s">
        <v>6</v>
      </c>
      <c r="C29" s="11"/>
      <c r="D29" s="11" t="s">
        <v>7</v>
      </c>
      <c r="E29" s="11"/>
      <c r="F29" s="11" t="s">
        <v>8</v>
      </c>
      <c r="G29" s="11"/>
      <c r="H29" s="11" t="s">
        <v>9</v>
      </c>
      <c r="I29" s="11"/>
      <c r="J29" s="11" t="s">
        <v>10</v>
      </c>
      <c r="K29" s="11"/>
      <c r="L29" s="11" t="s">
        <v>11</v>
      </c>
      <c r="M29" s="1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 t="s">
        <v>14</v>
      </c>
      <c r="B30" s="11">
        <v>-3.9300000000000002E-2</v>
      </c>
      <c r="C30" s="11">
        <v>1.14E-2</v>
      </c>
      <c r="D30" s="11">
        <v>-5.0200000000000002E-2</v>
      </c>
      <c r="E30" s="11">
        <v>-5.4100000000000002E-2</v>
      </c>
      <c r="F30" s="11">
        <v>-4.2900000000000001E-2</v>
      </c>
      <c r="G30" s="11">
        <v>-1.2500000000000001E-2</v>
      </c>
      <c r="H30" s="11">
        <v>-5.8599999999999999E-2</v>
      </c>
      <c r="I30" s="11">
        <v>-5.0500000000000003E-2</v>
      </c>
      <c r="J30" s="11">
        <v>-4.8099999999999997E-2</v>
      </c>
      <c r="K30" s="11">
        <v>-3.6499999999999998E-2</v>
      </c>
      <c r="L30" s="11">
        <v>-2.1999999999999999E-2</v>
      </c>
      <c r="M30" s="11">
        <v>-2.7900000000000001E-2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1">
        <v>-1.7600000000000001E-2</v>
      </c>
      <c r="C31" s="11">
        <v>-2.1399999999999999E-2</v>
      </c>
      <c r="D31" s="11">
        <v>-1.77E-2</v>
      </c>
      <c r="E31" s="11">
        <v>-2.0299999999999999E-2</v>
      </c>
      <c r="F31" s="11">
        <v>-1.78E-2</v>
      </c>
      <c r="G31" s="11">
        <v>-2.2100000000000002E-2</v>
      </c>
      <c r="H31" s="11">
        <v>-1.7500000000000002E-2</v>
      </c>
      <c r="I31" s="11">
        <v>-2.1299999999999999E-2</v>
      </c>
      <c r="J31" s="11">
        <v>-1.6899999999999998E-2</v>
      </c>
      <c r="K31" s="11">
        <v>-2.5100000000000001E-2</v>
      </c>
      <c r="L31" s="11">
        <v>-1.5800000000000002E-2</v>
      </c>
      <c r="M31" s="11">
        <v>-2.0799999999999999E-2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 t="s">
        <v>15</v>
      </c>
      <c r="B32" s="11">
        <v>-6.3100000000000003E-2</v>
      </c>
      <c r="C32" s="11">
        <v>-1.8200000000000001E-2</v>
      </c>
      <c r="D32" s="11">
        <v>-5.7000000000000002E-2</v>
      </c>
      <c r="E32" s="11">
        <v>-9.9599999999999994E-2</v>
      </c>
      <c r="F32" s="11">
        <v>-9.0899999999999995E-2</v>
      </c>
      <c r="G32" s="11">
        <v>-0.10639999999999999</v>
      </c>
      <c r="H32" s="11">
        <v>-6.88E-2</v>
      </c>
      <c r="I32" s="11">
        <v>-6.9800000000000001E-2</v>
      </c>
      <c r="J32" s="11">
        <v>-4.1300000000000003E-2</v>
      </c>
      <c r="K32" s="11">
        <v>-4.4400000000000002E-2</v>
      </c>
      <c r="L32" s="11">
        <v>4.0000000000000002E-4</v>
      </c>
      <c r="M32" s="11">
        <v>-2.8899999999999999E-2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1">
        <v>-2.6100000000000002E-2</v>
      </c>
      <c r="C33" s="11">
        <v>-3.5200000000000002E-2</v>
      </c>
      <c r="D33" s="11">
        <v>-2.5100000000000001E-2</v>
      </c>
      <c r="E33" s="11">
        <v>-3.3799999999999997E-2</v>
      </c>
      <c r="F33" s="11">
        <v>-2.5499999999999998E-2</v>
      </c>
      <c r="G33" s="11">
        <v>-2.5399999999999999E-2</v>
      </c>
      <c r="H33" s="11">
        <v>-2.52E-2</v>
      </c>
      <c r="I33" s="11">
        <v>-3.5900000000000001E-2</v>
      </c>
      <c r="J33" s="11">
        <v>-2.4400000000000002E-2</v>
      </c>
      <c r="K33" s="11">
        <v>-3.5799999999999998E-2</v>
      </c>
      <c r="L33" s="11">
        <v>-2.2499999999999999E-2</v>
      </c>
      <c r="M33" s="11">
        <v>-3.7600000000000001E-2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 t="s">
        <v>20</v>
      </c>
      <c r="B34" s="11">
        <v>-1.32E-2</v>
      </c>
      <c r="C34" s="11">
        <v>-5.2400000000000002E-2</v>
      </c>
      <c r="D34" s="11">
        <v>-2.3599999999999999E-2</v>
      </c>
      <c r="E34" s="11">
        <v>-9.2600000000000002E-2</v>
      </c>
      <c r="F34" s="11">
        <v>-3.3300000000000003E-2</v>
      </c>
      <c r="G34" s="11">
        <v>-7.17E-2</v>
      </c>
      <c r="H34" s="11">
        <v>-2.07E-2</v>
      </c>
      <c r="I34" s="11">
        <v>-6.9000000000000006E-2</v>
      </c>
      <c r="J34" s="11">
        <v>-2.2700000000000001E-2</v>
      </c>
      <c r="K34" s="11">
        <v>-0.19389999999999999</v>
      </c>
      <c r="L34" s="11">
        <v>-1.4200000000000001E-2</v>
      </c>
      <c r="M34" s="11">
        <v>-2.01E-2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1">
        <v>-3.9600000000000003E-2</v>
      </c>
      <c r="C35" s="11">
        <v>-5.6399999999999999E-2</v>
      </c>
      <c r="D35" s="11">
        <v>-4.1700000000000001E-2</v>
      </c>
      <c r="E35" s="11">
        <v>-4.5600000000000002E-2</v>
      </c>
      <c r="F35" s="11">
        <v>-4.0399999999999998E-2</v>
      </c>
      <c r="G35" s="11">
        <v>-4.9500000000000002E-2</v>
      </c>
      <c r="H35" s="11">
        <v>-3.95E-2</v>
      </c>
      <c r="I35" s="11">
        <v>-4.6699999999999998E-2</v>
      </c>
      <c r="J35" s="11">
        <v>-4.1399999999999999E-2</v>
      </c>
      <c r="K35" s="11">
        <v>-5.8900000000000001E-2</v>
      </c>
      <c r="L35" s="11">
        <v>-3.6600000000000001E-2</v>
      </c>
      <c r="M35" s="11">
        <v>-4.8500000000000001E-2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 t="s">
        <v>21</v>
      </c>
      <c r="B36" s="11">
        <v>0.79320000000000002</v>
      </c>
      <c r="C36" s="11">
        <v>1.3090999999999999</v>
      </c>
      <c r="D36" s="11">
        <v>0.76449999999999996</v>
      </c>
      <c r="E36" s="11">
        <v>0.85850000000000004</v>
      </c>
      <c r="F36" s="11">
        <v>0.76380000000000003</v>
      </c>
      <c r="G36" s="11">
        <v>1.2722</v>
      </c>
      <c r="H36" s="11">
        <v>0.74860000000000004</v>
      </c>
      <c r="I36" s="11">
        <v>0.998</v>
      </c>
      <c r="J36" s="11">
        <v>0.77210000000000001</v>
      </c>
      <c r="K36" s="11">
        <v>0.92100000000000004</v>
      </c>
      <c r="L36" s="11">
        <v>0.64219999999999999</v>
      </c>
      <c r="M36" s="11">
        <v>0.6714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1">
        <v>-9.0499999999999997E-2</v>
      </c>
      <c r="C37" s="11">
        <v>-9.7199999999999995E-2</v>
      </c>
      <c r="D37" s="11">
        <v>-8.8400000000000006E-2</v>
      </c>
      <c r="E37" s="11">
        <v>-9.8000000000000004E-2</v>
      </c>
      <c r="F37" s="11">
        <v>-9.4200000000000006E-2</v>
      </c>
      <c r="G37" s="11">
        <v>-9.06E-2</v>
      </c>
      <c r="H37" s="11">
        <v>-8.7800000000000003E-2</v>
      </c>
      <c r="I37" s="11">
        <v>-0.1002</v>
      </c>
      <c r="J37" s="11">
        <v>-8.6999999999999994E-2</v>
      </c>
      <c r="K37" s="11">
        <v>-9.6699999999999994E-2</v>
      </c>
      <c r="L37" s="11">
        <v>-8.0399999999999999E-2</v>
      </c>
      <c r="M37" s="11">
        <v>-0.1022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 t="s">
        <v>22</v>
      </c>
      <c r="B38" s="11">
        <v>-3.3000000000000002E-2</v>
      </c>
      <c r="C38" s="11">
        <v>-0.20549999999999999</v>
      </c>
      <c r="D38" s="11">
        <v>-3.4500000000000003E-2</v>
      </c>
      <c r="E38" s="11">
        <v>4.3499999999999997E-2</v>
      </c>
      <c r="F38" s="11">
        <v>1.2699999999999999E-2</v>
      </c>
      <c r="G38" s="11">
        <v>-1.46E-2</v>
      </c>
      <c r="H38" s="11">
        <v>-4.7000000000000002E-3</v>
      </c>
      <c r="I38" s="11">
        <v>-3.0700000000000002E-2</v>
      </c>
      <c r="J38" s="11">
        <v>-6.8500000000000005E-2</v>
      </c>
      <c r="K38" s="11">
        <v>-6.0100000000000001E-2</v>
      </c>
      <c r="L38" s="11">
        <v>-0.2442</v>
      </c>
      <c r="M38" s="11">
        <v>-0.12239999999999999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1">
        <v>-4.4699999999999997E-2</v>
      </c>
      <c r="C39" s="11">
        <v>-6.3799999999999996E-2</v>
      </c>
      <c r="D39" s="11">
        <v>-3.8100000000000002E-2</v>
      </c>
      <c r="E39" s="11">
        <v>-5.3499999999999999E-2</v>
      </c>
      <c r="F39" s="11">
        <v>-4.3400000000000001E-2</v>
      </c>
      <c r="G39" s="11">
        <v>-3.9899999999999998E-2</v>
      </c>
      <c r="H39" s="11">
        <v>-4.0399999999999998E-2</v>
      </c>
      <c r="I39" s="11">
        <v>-5.6000000000000001E-2</v>
      </c>
      <c r="J39" s="11">
        <v>-3.7900000000000003E-2</v>
      </c>
      <c r="K39" s="11">
        <v>-5.7000000000000002E-2</v>
      </c>
      <c r="L39" s="11">
        <v>-4.7300000000000002E-2</v>
      </c>
      <c r="M39" s="11">
        <v>-7.9699999999999993E-2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5" t="s">
        <v>36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1" t="s">
        <v>6</v>
      </c>
      <c r="C42" s="11"/>
      <c r="D42" s="11" t="s">
        <v>7</v>
      </c>
      <c r="E42" s="11"/>
      <c r="F42" s="11" t="s">
        <v>8</v>
      </c>
      <c r="G42" s="11"/>
      <c r="H42" s="11" t="s">
        <v>9</v>
      </c>
      <c r="I42" s="11"/>
      <c r="J42" s="11" t="s">
        <v>10</v>
      </c>
      <c r="K42" s="11"/>
      <c r="L42" s="11" t="s">
        <v>11</v>
      </c>
      <c r="M42" s="1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 t="s">
        <v>14</v>
      </c>
      <c r="B43" s="11">
        <v>-4.6899999999999997E-2</v>
      </c>
      <c r="C43" s="11">
        <v>-8.0000000000000004E-4</v>
      </c>
      <c r="D43" s="11">
        <v>-5.2900000000000003E-2</v>
      </c>
      <c r="E43" s="11">
        <v>-1.9800000000000002E-2</v>
      </c>
      <c r="F43" s="11">
        <v>-4.9000000000000002E-2</v>
      </c>
      <c r="G43" s="11">
        <v>-6.0000000000000001E-3</v>
      </c>
      <c r="H43" s="11">
        <v>-6.0400000000000002E-2</v>
      </c>
      <c r="I43" s="11">
        <v>-4.5999999999999999E-3</v>
      </c>
      <c r="J43" s="11">
        <v>-5.1700000000000003E-2</v>
      </c>
      <c r="K43" s="11">
        <v>-5.1499999999999997E-2</v>
      </c>
      <c r="L43" s="11">
        <v>-2.7400000000000001E-2</v>
      </c>
      <c r="M43" s="11">
        <v>-4.3999999999999997E-2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1">
        <v>-1.7999999999999999E-2</v>
      </c>
      <c r="C44" s="11">
        <v>-2.3599999999999999E-2</v>
      </c>
      <c r="D44" s="11">
        <v>-1.78E-2</v>
      </c>
      <c r="E44" s="11">
        <v>-2.1100000000000001E-2</v>
      </c>
      <c r="F44" s="11">
        <v>-1.78E-2</v>
      </c>
      <c r="G44" s="11">
        <v>-2.01E-2</v>
      </c>
      <c r="H44" s="11">
        <v>-1.7600000000000001E-2</v>
      </c>
      <c r="I44" s="11">
        <v>-2.1899999999999999E-2</v>
      </c>
      <c r="J44" s="11">
        <v>-1.77E-2</v>
      </c>
      <c r="K44" s="11">
        <v>-2.5899999999999999E-2</v>
      </c>
      <c r="L44" s="11">
        <v>-1.5599999999999999E-2</v>
      </c>
      <c r="M44" s="11">
        <v>-2.7400000000000001E-2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 t="s">
        <v>15</v>
      </c>
      <c r="B45" s="11">
        <v>-4.3400000000000001E-2</v>
      </c>
      <c r="C45" s="11">
        <v>-1.3299999999999999E-2</v>
      </c>
      <c r="D45" s="11">
        <v>-2.87E-2</v>
      </c>
      <c r="E45" s="11">
        <v>-6.7699999999999996E-2</v>
      </c>
      <c r="F45" s="11">
        <v>-6.3600000000000004E-2</v>
      </c>
      <c r="G45" s="11">
        <v>-6.0600000000000001E-2</v>
      </c>
      <c r="H45" s="11">
        <v>-5.2200000000000003E-2</v>
      </c>
      <c r="I45" s="11">
        <v>-7.4000000000000003E-3</v>
      </c>
      <c r="J45" s="11">
        <v>-2.7900000000000001E-2</v>
      </c>
      <c r="K45" s="11">
        <v>2.24E-2</v>
      </c>
      <c r="L45" s="11">
        <v>1.7100000000000001E-2</v>
      </c>
      <c r="M45" s="11">
        <v>-6.0000000000000001E-3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1">
        <v>-2.6499999999999999E-2</v>
      </c>
      <c r="C46" s="11">
        <v>-3.5999999999999997E-2</v>
      </c>
      <c r="D46" s="11">
        <v>-2.5700000000000001E-2</v>
      </c>
      <c r="E46" s="11">
        <v>-3.2199999999999999E-2</v>
      </c>
      <c r="F46" s="11">
        <v>-2.47E-2</v>
      </c>
      <c r="G46" s="11">
        <v>-3.5499999999999997E-2</v>
      </c>
      <c r="H46" s="11">
        <v>-2.58E-2</v>
      </c>
      <c r="I46" s="11">
        <v>-4.0800000000000003E-2</v>
      </c>
      <c r="J46" s="11">
        <v>-2.4400000000000002E-2</v>
      </c>
      <c r="K46" s="11">
        <v>-3.2300000000000002E-2</v>
      </c>
      <c r="L46" s="11">
        <v>-2.18E-2</v>
      </c>
      <c r="M46" s="11">
        <v>-3.8300000000000001E-2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 t="s">
        <v>20</v>
      </c>
      <c r="B47" s="11">
        <v>-1.5599999999999999E-2</v>
      </c>
      <c r="C47" s="11">
        <v>-5.0200000000000002E-2</v>
      </c>
      <c r="D47" s="11">
        <v>-2.4899999999999999E-2</v>
      </c>
      <c r="E47" s="11">
        <v>-0.14860000000000001</v>
      </c>
      <c r="F47" s="11">
        <v>-1.5299999999999999E-2</v>
      </c>
      <c r="G47" s="11">
        <v>-2.23E-2</v>
      </c>
      <c r="H47" s="11">
        <v>-3.0300000000000001E-2</v>
      </c>
      <c r="I47" s="11">
        <v>-7.8799999999999995E-2</v>
      </c>
      <c r="J47" s="11">
        <v>-2.6700000000000002E-2</v>
      </c>
      <c r="K47" s="11">
        <v>-0.1386</v>
      </c>
      <c r="L47" s="11">
        <v>-1.32E-2</v>
      </c>
      <c r="M47" s="11">
        <v>-1.8E-3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1">
        <v>-3.6700000000000003E-2</v>
      </c>
      <c r="C48" s="11">
        <v>-6.0400000000000002E-2</v>
      </c>
      <c r="D48" s="11">
        <v>-3.9E-2</v>
      </c>
      <c r="E48" s="11">
        <v>-5.5199999999999999E-2</v>
      </c>
      <c r="F48" s="11">
        <v>-3.8199999999999998E-2</v>
      </c>
      <c r="G48" s="11">
        <v>-4.7500000000000001E-2</v>
      </c>
      <c r="H48" s="11">
        <v>-3.8199999999999998E-2</v>
      </c>
      <c r="I48" s="11">
        <v>-5.0099999999999999E-2</v>
      </c>
      <c r="J48" s="11">
        <v>-3.9600000000000003E-2</v>
      </c>
      <c r="K48" s="11">
        <v>-5.3800000000000001E-2</v>
      </c>
      <c r="L48" s="11">
        <v>-3.5299999999999998E-2</v>
      </c>
      <c r="M48" s="11">
        <v>-5.5599999999999997E-2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 t="s">
        <v>21</v>
      </c>
      <c r="B49" s="11">
        <v>0.69710000000000005</v>
      </c>
      <c r="C49" s="11">
        <v>1.1651</v>
      </c>
      <c r="D49" s="11">
        <v>0.76400000000000001</v>
      </c>
      <c r="E49" s="11">
        <v>0.89749999999999996</v>
      </c>
      <c r="F49" s="11">
        <v>0.75739999999999996</v>
      </c>
      <c r="G49" s="11">
        <v>1.2399</v>
      </c>
      <c r="H49" s="11">
        <v>0.79890000000000005</v>
      </c>
      <c r="I49" s="11">
        <v>1.1062000000000001</v>
      </c>
      <c r="J49" s="11">
        <v>0.7782</v>
      </c>
      <c r="K49" s="11">
        <v>0.8679</v>
      </c>
      <c r="L49" s="11">
        <v>0.6321</v>
      </c>
      <c r="M49" s="11">
        <v>1.0728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1">
        <v>-8.7800000000000003E-2</v>
      </c>
      <c r="C50" s="11">
        <v>-9.8599999999999993E-2</v>
      </c>
      <c r="D50" s="11">
        <v>-8.6300000000000002E-2</v>
      </c>
      <c r="E50" s="11">
        <v>-9.8900000000000002E-2</v>
      </c>
      <c r="F50" s="11">
        <v>-8.6499999999999994E-2</v>
      </c>
      <c r="G50" s="11">
        <v>-0.1017</v>
      </c>
      <c r="H50" s="11">
        <v>-8.5599999999999996E-2</v>
      </c>
      <c r="I50" s="11">
        <v>-9.8100000000000007E-2</v>
      </c>
      <c r="J50" s="11">
        <v>-8.7599999999999997E-2</v>
      </c>
      <c r="K50" s="11">
        <v>-0.1033</v>
      </c>
      <c r="L50" s="11">
        <v>-7.7499999999999999E-2</v>
      </c>
      <c r="M50" s="11">
        <v>-0.1178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 t="s">
        <v>22</v>
      </c>
      <c r="B51" s="11">
        <v>-4.5999999999999999E-3</v>
      </c>
      <c r="C51" s="11">
        <v>-0.1167</v>
      </c>
      <c r="D51" s="11">
        <v>-2.52E-2</v>
      </c>
      <c r="E51" s="11">
        <v>2.8799999999999999E-2</v>
      </c>
      <c r="F51" s="11">
        <v>2.5000000000000001E-2</v>
      </c>
      <c r="G51" s="11">
        <v>-5.5599999999999997E-2</v>
      </c>
      <c r="H51" s="11">
        <v>1.44E-2</v>
      </c>
      <c r="I51" s="11">
        <v>-9.8000000000000004E-2</v>
      </c>
      <c r="J51" s="11">
        <v>-3.7400000000000003E-2</v>
      </c>
      <c r="K51" s="11">
        <v>-0.10489999999999999</v>
      </c>
      <c r="L51" s="11">
        <v>-0.2364</v>
      </c>
      <c r="M51" s="11">
        <v>-0.1492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1">
        <v>-4.3299999999999998E-2</v>
      </c>
      <c r="C52" s="11">
        <v>-5.3800000000000001E-2</v>
      </c>
      <c r="D52" s="11">
        <v>-3.7699999999999997E-2</v>
      </c>
      <c r="E52" s="11">
        <v>-5.0900000000000001E-2</v>
      </c>
      <c r="F52" s="11">
        <v>-3.8800000000000001E-2</v>
      </c>
      <c r="G52" s="11">
        <v>-4.2000000000000003E-2</v>
      </c>
      <c r="H52" s="11">
        <v>-4.0800000000000003E-2</v>
      </c>
      <c r="I52" s="11">
        <v>-5.5399999999999998E-2</v>
      </c>
      <c r="J52" s="11">
        <v>-3.8600000000000002E-2</v>
      </c>
      <c r="K52" s="11">
        <v>-4.7100000000000003E-2</v>
      </c>
      <c r="L52" s="11">
        <v>-4.7899999999999998E-2</v>
      </c>
      <c r="M52" s="11">
        <v>-6.5100000000000005E-2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5" t="s">
        <v>37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1" t="s">
        <v>6</v>
      </c>
      <c r="C55" s="11"/>
      <c r="D55" s="11" t="s">
        <v>7</v>
      </c>
      <c r="E55" s="11"/>
      <c r="F55" s="11" t="s">
        <v>8</v>
      </c>
      <c r="G55" s="11"/>
      <c r="H55" s="11" t="s">
        <v>9</v>
      </c>
      <c r="I55" s="11"/>
      <c r="J55" s="11" t="s">
        <v>10</v>
      </c>
      <c r="K55" s="11"/>
      <c r="L55" s="11" t="s">
        <v>11</v>
      </c>
      <c r="M55" s="1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 t="s">
        <v>14</v>
      </c>
      <c r="B56" s="11">
        <v>-2.87E-2</v>
      </c>
      <c r="C56" s="11">
        <v>-2.0999999999999999E-3</v>
      </c>
      <c r="D56" s="11">
        <v>-4.0899999999999999E-2</v>
      </c>
      <c r="E56" s="11">
        <v>-1.17E-2</v>
      </c>
      <c r="F56" s="11">
        <v>-3.4599999999999999E-2</v>
      </c>
      <c r="G56" s="11">
        <v>-1.4E-3</v>
      </c>
      <c r="H56" s="11">
        <v>-5.04E-2</v>
      </c>
      <c r="I56" s="11">
        <v>-2.8000000000000001E-2</v>
      </c>
      <c r="J56" s="11">
        <v>-3.9600000000000003E-2</v>
      </c>
      <c r="K56" s="11">
        <v>-1.1900000000000001E-2</v>
      </c>
      <c r="L56" s="11">
        <v>-1.89E-2</v>
      </c>
      <c r="M56" s="11">
        <v>-3.5999999999999997E-2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1">
        <v>-1.66E-2</v>
      </c>
      <c r="C57" s="11">
        <v>-2.35E-2</v>
      </c>
      <c r="D57" s="11">
        <v>-1.6199999999999999E-2</v>
      </c>
      <c r="E57" s="11">
        <v>-2.0400000000000001E-2</v>
      </c>
      <c r="F57" s="11">
        <v>-1.7100000000000001E-2</v>
      </c>
      <c r="G57" s="11">
        <v>-2.07E-2</v>
      </c>
      <c r="H57" s="11">
        <v>-1.6500000000000001E-2</v>
      </c>
      <c r="I57" s="11">
        <v>-1.8800000000000001E-2</v>
      </c>
      <c r="J57" s="11">
        <v>-1.5599999999999999E-2</v>
      </c>
      <c r="K57" s="11">
        <v>-2.8299999999999999E-2</v>
      </c>
      <c r="L57" s="11">
        <v>-1.4999999999999999E-2</v>
      </c>
      <c r="M57" s="11">
        <v>-2.76E-2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 t="s">
        <v>15</v>
      </c>
      <c r="B58" s="11">
        <v>-4.8800000000000003E-2</v>
      </c>
      <c r="C58" s="11">
        <v>3.9399999999999998E-2</v>
      </c>
      <c r="D58" s="11">
        <v>-3.8199999999999998E-2</v>
      </c>
      <c r="E58" s="11">
        <v>-9.4299999999999995E-2</v>
      </c>
      <c r="F58" s="11">
        <v>-7.1900000000000006E-2</v>
      </c>
      <c r="G58" s="11">
        <v>-1.1900000000000001E-2</v>
      </c>
      <c r="H58" s="11">
        <v>-5.9400000000000001E-2</v>
      </c>
      <c r="I58" s="11">
        <v>-2.3900000000000001E-2</v>
      </c>
      <c r="J58" s="11">
        <v>-3.5900000000000001E-2</v>
      </c>
      <c r="K58" s="11">
        <v>2.69E-2</v>
      </c>
      <c r="L58" s="11">
        <v>-8.2000000000000007E-3</v>
      </c>
      <c r="M58" s="11">
        <v>-1.5699999999999999E-2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1">
        <v>-2.4799999999999999E-2</v>
      </c>
      <c r="C59" s="11">
        <v>-3.3700000000000001E-2</v>
      </c>
      <c r="D59" s="11">
        <v>-2.3300000000000001E-2</v>
      </c>
      <c r="E59" s="11">
        <v>-3.5499999999999997E-2</v>
      </c>
      <c r="F59" s="11">
        <v>-2.41E-2</v>
      </c>
      <c r="G59" s="11">
        <v>-3.6600000000000001E-2</v>
      </c>
      <c r="H59" s="11">
        <v>-2.3800000000000002E-2</v>
      </c>
      <c r="I59" s="11">
        <v>-3.5499999999999997E-2</v>
      </c>
      <c r="J59" s="11">
        <v>-2.23E-2</v>
      </c>
      <c r="K59" s="11">
        <v>-3.3399999999999999E-2</v>
      </c>
      <c r="L59" s="11">
        <v>-2.1999999999999999E-2</v>
      </c>
      <c r="M59" s="11">
        <v>-4.0800000000000003E-2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 t="s">
        <v>16</v>
      </c>
      <c r="B60" s="11">
        <v>-6.7999999999999996E-3</v>
      </c>
      <c r="C60" s="11">
        <v>4.0000000000000001E-3</v>
      </c>
      <c r="D60" s="11">
        <v>-9.7999999999999997E-3</v>
      </c>
      <c r="E60" s="11">
        <v>-3.78E-2</v>
      </c>
      <c r="F60" s="11">
        <v>-2.98E-2</v>
      </c>
      <c r="G60" s="11">
        <v>-1.4E-3</v>
      </c>
      <c r="H60" s="11">
        <v>-1.7000000000000001E-2</v>
      </c>
      <c r="I60" s="11">
        <v>-8.5000000000000006E-2</v>
      </c>
      <c r="J60" s="11">
        <v>-4.8999999999999998E-3</v>
      </c>
      <c r="K60" s="11">
        <v>-7.2800000000000004E-2</v>
      </c>
      <c r="L60" s="11">
        <v>-8.8999999999999999E-3</v>
      </c>
      <c r="M60" s="11">
        <v>-2.5100000000000001E-2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1">
        <v>-3.6400000000000002E-2</v>
      </c>
      <c r="C61" s="11">
        <v>-5.45E-2</v>
      </c>
      <c r="D61" s="11">
        <v>-3.6700000000000003E-2</v>
      </c>
      <c r="E61" s="11">
        <v>-5.5800000000000002E-2</v>
      </c>
      <c r="F61" s="11">
        <v>-3.7999999999999999E-2</v>
      </c>
      <c r="G61" s="11">
        <v>-4.36E-2</v>
      </c>
      <c r="H61" s="11">
        <v>-3.6799999999999999E-2</v>
      </c>
      <c r="I61" s="11">
        <v>-4.2000000000000003E-2</v>
      </c>
      <c r="J61" s="11">
        <v>-3.6299999999999999E-2</v>
      </c>
      <c r="K61" s="11">
        <v>-4.7300000000000002E-2</v>
      </c>
      <c r="L61" s="11">
        <v>-3.4799999999999998E-2</v>
      </c>
      <c r="M61" s="11">
        <v>-4.4200000000000003E-2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 t="s">
        <v>17</v>
      </c>
      <c r="B62" s="11">
        <v>0.7389</v>
      </c>
      <c r="C62" s="11">
        <v>1.2262</v>
      </c>
      <c r="D62" s="11">
        <v>0.72370000000000001</v>
      </c>
      <c r="E62" s="11">
        <v>0.89780000000000004</v>
      </c>
      <c r="F62" s="11">
        <v>0.74860000000000004</v>
      </c>
      <c r="G62" s="11">
        <v>1.1279999999999999</v>
      </c>
      <c r="H62" s="11">
        <v>0.75339999999999996</v>
      </c>
      <c r="I62" s="11">
        <v>1.0068999999999999</v>
      </c>
      <c r="J62" s="11">
        <v>0.70830000000000004</v>
      </c>
      <c r="K62" s="11">
        <v>0.85740000000000005</v>
      </c>
      <c r="L62" s="11">
        <v>0.67949999999999999</v>
      </c>
      <c r="M62" s="11">
        <v>0.9173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1">
        <v>-8.6499999999999994E-2</v>
      </c>
      <c r="C63" s="11">
        <v>-9.1499999999999998E-2</v>
      </c>
      <c r="D63" s="11">
        <v>-8.14E-2</v>
      </c>
      <c r="E63" s="11">
        <v>-0.1135</v>
      </c>
      <c r="F63" s="11">
        <v>-8.9399999999999993E-2</v>
      </c>
      <c r="G63" s="11">
        <v>-9.8699999999999996E-2</v>
      </c>
      <c r="H63" s="11">
        <v>-8.2799999999999999E-2</v>
      </c>
      <c r="I63" s="11">
        <v>-9.5299999999999996E-2</v>
      </c>
      <c r="J63" s="11">
        <v>-8.0199999999999994E-2</v>
      </c>
      <c r="K63" s="11">
        <v>-9.69E-2</v>
      </c>
      <c r="L63" s="11">
        <v>-7.85E-2</v>
      </c>
      <c r="M63" s="11">
        <v>-0.1077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 t="s">
        <v>18</v>
      </c>
      <c r="B64" s="11">
        <v>-2.0799999999999999E-2</v>
      </c>
      <c r="C64" s="11">
        <v>-0.2145</v>
      </c>
      <c r="D64" s="11">
        <v>-1.7899999999999999E-2</v>
      </c>
      <c r="E64" s="11">
        <v>6.6199999999999995E-2</v>
      </c>
      <c r="F64" s="11">
        <v>1.7000000000000001E-2</v>
      </c>
      <c r="G64" s="11">
        <v>-8.48E-2</v>
      </c>
      <c r="H64" s="11">
        <v>1.2200000000000001E-2</v>
      </c>
      <c r="I64" s="11">
        <v>-4.7600000000000003E-2</v>
      </c>
      <c r="J64" s="11">
        <v>-3.1399999999999997E-2</v>
      </c>
      <c r="K64" s="11">
        <v>-0.1053</v>
      </c>
      <c r="L64" s="11">
        <v>-0.20369999999999999</v>
      </c>
      <c r="M64" s="11">
        <v>-0.1022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1">
        <v>-4.1200000000000001E-2</v>
      </c>
      <c r="C65" s="11">
        <v>-5.6000000000000001E-2</v>
      </c>
      <c r="D65" s="11">
        <v>-3.4099999999999998E-2</v>
      </c>
      <c r="E65" s="11">
        <v>-6.1199999999999997E-2</v>
      </c>
      <c r="F65" s="11">
        <v>-3.8300000000000001E-2</v>
      </c>
      <c r="G65" s="11">
        <v>-3.95E-2</v>
      </c>
      <c r="H65" s="11">
        <v>-3.7100000000000001E-2</v>
      </c>
      <c r="I65" s="11">
        <v>-5.1299999999999998E-2</v>
      </c>
      <c r="J65" s="11">
        <v>-3.4299999999999997E-2</v>
      </c>
      <c r="K65" s="11">
        <v>-5.04E-2</v>
      </c>
      <c r="L65" s="11">
        <v>-5.0099999999999999E-2</v>
      </c>
      <c r="M65" s="11">
        <v>-7.0900000000000005E-2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M2"/>
    <mergeCell ref="B15:M15"/>
    <mergeCell ref="B28:M28"/>
    <mergeCell ref="B41:M41"/>
    <mergeCell ref="B54:M5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2578125" defaultRowHeight="15" customHeight="1" x14ac:dyDescent="0.25"/>
  <cols>
    <col min="1" max="1" width="28.42578125" customWidth="1"/>
    <col min="2" max="11" width="10.28515625" customWidth="1"/>
    <col min="12" max="12" width="9.5703125" customWidth="1"/>
    <col min="13" max="13" width="10.28515625" customWidth="1"/>
    <col min="14" max="26" width="8.7109375" customWidth="1"/>
  </cols>
  <sheetData>
    <row r="1" spans="1:26" x14ac:dyDescent="0.25">
      <c r="A1" s="1"/>
      <c r="B1" s="11" t="s">
        <v>19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5" t="s">
        <v>33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1" t="s">
        <v>6</v>
      </c>
      <c r="C3" s="11"/>
      <c r="D3" s="11" t="s">
        <v>7</v>
      </c>
      <c r="E3" s="11"/>
      <c r="F3" s="11" t="s">
        <v>8</v>
      </c>
      <c r="G3" s="11"/>
      <c r="H3" s="11" t="s">
        <v>9</v>
      </c>
      <c r="I3" s="11"/>
      <c r="J3" s="11" t="s">
        <v>10</v>
      </c>
      <c r="K3" s="11"/>
      <c r="L3" s="11" t="s">
        <v>11</v>
      </c>
      <c r="M3" s="1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 t="s">
        <v>14</v>
      </c>
      <c r="B4" s="11">
        <v>0.1157</v>
      </c>
      <c r="C4" s="11">
        <v>0.15079999999999999</v>
      </c>
      <c r="D4" s="11">
        <v>0.1153</v>
      </c>
      <c r="E4" s="11">
        <v>0.18790000000000001</v>
      </c>
      <c r="F4" s="11">
        <v>7.3899999999999993E-2</v>
      </c>
      <c r="G4" s="11">
        <v>0.22439999999999999</v>
      </c>
      <c r="H4" s="11">
        <v>0.1575</v>
      </c>
      <c r="I4" s="11">
        <v>0.37980000000000003</v>
      </c>
      <c r="J4" s="11">
        <v>6.9800000000000001E-2</v>
      </c>
      <c r="K4" s="11">
        <v>0.26900000000000002</v>
      </c>
      <c r="L4" s="11">
        <v>6.4000000000000001E-2</v>
      </c>
      <c r="M4" s="11">
        <v>0.1172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1">
        <v>-9.7900000000000001E-2</v>
      </c>
      <c r="C5" s="11">
        <v>-0.1787</v>
      </c>
      <c r="D5" s="11">
        <v>-0.1066</v>
      </c>
      <c r="E5" s="11">
        <v>-0.15490000000000001</v>
      </c>
      <c r="F5" s="11">
        <v>-0.1142</v>
      </c>
      <c r="G5" s="11">
        <v>-0.15989999999999999</v>
      </c>
      <c r="H5" s="11">
        <v>-6.7100000000000007E-2</v>
      </c>
      <c r="I5" s="11">
        <v>-0.20219999999999999</v>
      </c>
      <c r="J5" s="11">
        <v>-5.8599999999999999E-2</v>
      </c>
      <c r="K5" s="11">
        <v>-0.17530000000000001</v>
      </c>
      <c r="L5" s="11">
        <v>-6.2300000000000001E-2</v>
      </c>
      <c r="M5" s="11">
        <v>-0.1618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 t="s">
        <v>15</v>
      </c>
      <c r="B6" s="11">
        <v>-0.29599999999999999</v>
      </c>
      <c r="C6" s="11">
        <v>-0.41749999999999998</v>
      </c>
      <c r="D6" s="11">
        <v>-0.2828</v>
      </c>
      <c r="E6" s="11">
        <v>-0.1943</v>
      </c>
      <c r="F6" s="11">
        <v>-0.2112</v>
      </c>
      <c r="G6" s="11">
        <v>-0.32419999999999999</v>
      </c>
      <c r="H6" s="11">
        <v>-0.1636</v>
      </c>
      <c r="I6" s="11">
        <v>-0.37719999999999998</v>
      </c>
      <c r="J6" s="11">
        <v>-6.5500000000000003E-2</v>
      </c>
      <c r="K6" s="11">
        <v>0.16830000000000001</v>
      </c>
      <c r="L6" s="11">
        <v>-1.2699999999999999E-2</v>
      </c>
      <c r="M6" s="11">
        <v>3.3000000000000002E-2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1">
        <v>-8.5900000000000004E-2</v>
      </c>
      <c r="C7" s="11">
        <v>-0.183</v>
      </c>
      <c r="D7" s="11">
        <v>-8.2600000000000007E-2</v>
      </c>
      <c r="E7" s="11">
        <v>-0.1525</v>
      </c>
      <c r="F7" s="11">
        <v>-0.10730000000000001</v>
      </c>
      <c r="G7" s="11">
        <v>-0.16830000000000001</v>
      </c>
      <c r="H7" s="11">
        <v>-7.0800000000000002E-2</v>
      </c>
      <c r="I7" s="11">
        <v>-0.1457</v>
      </c>
      <c r="J7" s="11">
        <v>-6.93E-2</v>
      </c>
      <c r="K7" s="11">
        <v>-0.151</v>
      </c>
      <c r="L7" s="11">
        <v>-7.4200000000000002E-2</v>
      </c>
      <c r="M7" s="11">
        <v>-0.20530000000000001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 t="s">
        <v>20</v>
      </c>
      <c r="B8" s="11">
        <v>2.2633000000000001</v>
      </c>
      <c r="C8" s="11">
        <v>0.63670000000000004</v>
      </c>
      <c r="D8" s="11">
        <v>2.1972999999999998</v>
      </c>
      <c r="E8" s="11">
        <v>-1.2750999999999999</v>
      </c>
      <c r="F8" s="11">
        <v>1.9968999999999999</v>
      </c>
      <c r="G8" s="11">
        <v>-0.36059999999999998</v>
      </c>
      <c r="H8" s="11">
        <v>0.99609999999999999</v>
      </c>
      <c r="I8" s="11">
        <v>-0.38779999999999998</v>
      </c>
      <c r="J8" s="11">
        <v>0.17680000000000001</v>
      </c>
      <c r="K8" s="11">
        <v>0.17469999999999999</v>
      </c>
      <c r="L8" s="11">
        <v>0.63249999999999995</v>
      </c>
      <c r="M8" s="11">
        <v>1.2890999999999999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1">
        <v>-0.69010000000000005</v>
      </c>
      <c r="C9" s="11">
        <v>-1.1127</v>
      </c>
      <c r="D9" s="11">
        <v>-0.73540000000000005</v>
      </c>
      <c r="E9" s="11">
        <v>-0.98270000000000002</v>
      </c>
      <c r="F9" s="11">
        <v>-0.82920000000000005</v>
      </c>
      <c r="G9" s="11">
        <v>-0.94789999999999996</v>
      </c>
      <c r="H9" s="11">
        <v>-0.51170000000000004</v>
      </c>
      <c r="I9" s="11">
        <v>-1.0935999999999999</v>
      </c>
      <c r="J9" s="11">
        <v>-0.57410000000000005</v>
      </c>
      <c r="K9" s="11">
        <v>-1.0692999999999999</v>
      </c>
      <c r="L9" s="11">
        <v>-0.57389999999999997</v>
      </c>
      <c r="M9" s="11">
        <v>-1.2214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 t="s">
        <v>21</v>
      </c>
      <c r="B10" s="11">
        <v>6.3117999999999999</v>
      </c>
      <c r="C10" s="11">
        <v>8.4105000000000008</v>
      </c>
      <c r="D10" s="11">
        <v>6.9981999999999998</v>
      </c>
      <c r="E10" s="11">
        <v>6.9722</v>
      </c>
      <c r="F10" s="11">
        <v>6.5373999999999999</v>
      </c>
      <c r="G10" s="11">
        <v>7.9337</v>
      </c>
      <c r="H10" s="11">
        <v>4.7727000000000004</v>
      </c>
      <c r="I10" s="11">
        <v>6.9917999999999996</v>
      </c>
      <c r="J10" s="11">
        <v>2.9144000000000001</v>
      </c>
      <c r="K10" s="11">
        <v>4.6547000000000001</v>
      </c>
      <c r="L10" s="11">
        <v>3.01</v>
      </c>
      <c r="M10" s="11">
        <v>9.1906999999999996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11">
        <v>-0.74429999999999996</v>
      </c>
      <c r="C11" s="11">
        <v>-1.5297000000000001</v>
      </c>
      <c r="D11" s="11">
        <v>-0.65400000000000003</v>
      </c>
      <c r="E11" s="11">
        <v>-1.3486</v>
      </c>
      <c r="F11" s="11">
        <v>-0.70750000000000002</v>
      </c>
      <c r="G11" s="11">
        <v>-1.0912999999999999</v>
      </c>
      <c r="H11" s="11">
        <v>-0.58979999999999999</v>
      </c>
      <c r="I11" s="11">
        <v>-1.3531</v>
      </c>
      <c r="J11" s="11">
        <v>-0.62180000000000002</v>
      </c>
      <c r="K11" s="11">
        <v>-1.2598</v>
      </c>
      <c r="L11" s="11">
        <v>-0.62370000000000003</v>
      </c>
      <c r="M11" s="11">
        <v>-1.5346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 t="s">
        <v>22</v>
      </c>
      <c r="B12" s="11">
        <v>-0.1031</v>
      </c>
      <c r="C12" s="11">
        <v>-0.49859999999999999</v>
      </c>
      <c r="D12" s="11">
        <v>-0.1163</v>
      </c>
      <c r="E12" s="11">
        <v>-0.43890000000000001</v>
      </c>
      <c r="F12" s="11">
        <v>-5.8900000000000001E-2</v>
      </c>
      <c r="G12" s="11">
        <v>-0.20549999999999999</v>
      </c>
      <c r="H12" s="11">
        <v>-6.9000000000000006E-2</v>
      </c>
      <c r="I12" s="11">
        <v>-0.28939999999999999</v>
      </c>
      <c r="J12" s="11">
        <v>-6.8599999999999994E-2</v>
      </c>
      <c r="K12" s="11">
        <v>-0.44119999999999998</v>
      </c>
      <c r="L12" s="11">
        <v>-9.4500000000000001E-2</v>
      </c>
      <c r="M12" s="11">
        <v>-0.92359999999999998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1">
        <v>-0.10009999999999999</v>
      </c>
      <c r="C13" s="11">
        <v>-0.1236</v>
      </c>
      <c r="D13" s="11">
        <v>-0.1052</v>
      </c>
      <c r="E13" s="11">
        <v>-0.1234</v>
      </c>
      <c r="F13" s="11">
        <v>-0.1084</v>
      </c>
      <c r="G13" s="11">
        <v>-0.1191</v>
      </c>
      <c r="H13" s="11">
        <v>-7.4899999999999994E-2</v>
      </c>
      <c r="I13" s="11">
        <v>-0.1174</v>
      </c>
      <c r="J13" s="11">
        <v>-7.1800000000000003E-2</v>
      </c>
      <c r="K13" s="11">
        <v>-0.1188</v>
      </c>
      <c r="L13" s="11">
        <v>-7.46E-2</v>
      </c>
      <c r="M13" s="11">
        <v>-0.12740000000000001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5" t="s">
        <v>34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1" t="s">
        <v>6</v>
      </c>
      <c r="C16" s="11"/>
      <c r="D16" s="11" t="s">
        <v>7</v>
      </c>
      <c r="E16" s="11"/>
      <c r="F16" s="11" t="s">
        <v>8</v>
      </c>
      <c r="G16" s="11"/>
      <c r="H16" s="11" t="s">
        <v>9</v>
      </c>
      <c r="I16" s="11"/>
      <c r="J16" s="11" t="s">
        <v>10</v>
      </c>
      <c r="K16" s="11"/>
      <c r="L16" s="11" t="s">
        <v>11</v>
      </c>
      <c r="M16" s="1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 t="s">
        <v>14</v>
      </c>
      <c r="B17" s="11">
        <v>0.19539999999999999</v>
      </c>
      <c r="C17" s="11">
        <v>0.2326</v>
      </c>
      <c r="D17" s="11">
        <v>0.15049999999999999</v>
      </c>
      <c r="E17" s="11">
        <v>0.3755</v>
      </c>
      <c r="F17" s="11">
        <v>0.20780000000000001</v>
      </c>
      <c r="G17" s="11">
        <v>0.15939999999999999</v>
      </c>
      <c r="H17" s="11">
        <v>0.2087</v>
      </c>
      <c r="I17" s="11">
        <v>0.18609999999999999</v>
      </c>
      <c r="J17" s="11">
        <v>0.188</v>
      </c>
      <c r="K17" s="11">
        <v>-3.5400000000000001E-2</v>
      </c>
      <c r="L17" s="11">
        <v>0.18809999999999999</v>
      </c>
      <c r="M17" s="11">
        <v>-2.8E-3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1">
        <v>-9.7699999999999995E-2</v>
      </c>
      <c r="C18" s="11">
        <v>-0.1671</v>
      </c>
      <c r="D18" s="11">
        <v>-9.4500000000000001E-2</v>
      </c>
      <c r="E18" s="11">
        <v>-0.1361</v>
      </c>
      <c r="F18" s="11">
        <v>-9.11E-2</v>
      </c>
      <c r="G18" s="11">
        <v>-0.17899999999999999</v>
      </c>
      <c r="H18" s="11">
        <v>-8.9499999999999996E-2</v>
      </c>
      <c r="I18" s="11">
        <v>-0.16819999999999999</v>
      </c>
      <c r="J18" s="11">
        <v>-9.4500000000000001E-2</v>
      </c>
      <c r="K18" s="11">
        <v>-0.16470000000000001</v>
      </c>
      <c r="L18" s="11">
        <v>-7.6200000000000004E-2</v>
      </c>
      <c r="M18" s="11">
        <v>-0.1348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 t="s">
        <v>15</v>
      </c>
      <c r="B19" s="11">
        <v>-6.6500000000000004E-2</v>
      </c>
      <c r="C19" s="11">
        <v>-0.16</v>
      </c>
      <c r="D19" s="11">
        <v>-5.4100000000000002E-2</v>
      </c>
      <c r="E19" s="11">
        <v>9.8400000000000001E-2</v>
      </c>
      <c r="F19" s="11">
        <v>-4.7600000000000003E-2</v>
      </c>
      <c r="G19" s="11">
        <v>-0.56769999999999998</v>
      </c>
      <c r="H19" s="11">
        <v>-9.4399999999999998E-2</v>
      </c>
      <c r="I19" s="11">
        <v>-0.3523</v>
      </c>
      <c r="J19" s="11">
        <v>2.5000000000000001E-2</v>
      </c>
      <c r="K19" s="11">
        <v>8.2500000000000004E-2</v>
      </c>
      <c r="L19" s="11">
        <v>7.1499999999999994E-2</v>
      </c>
      <c r="M19" s="11">
        <v>-0.34699999999999998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1">
        <v>-9.64E-2</v>
      </c>
      <c r="C20" s="11">
        <v>-0.14030000000000001</v>
      </c>
      <c r="D20" s="11">
        <v>-8.6800000000000002E-2</v>
      </c>
      <c r="E20" s="11">
        <v>-0.1047</v>
      </c>
      <c r="F20" s="11">
        <v>-8.9599999999999999E-2</v>
      </c>
      <c r="G20" s="11">
        <v>-0.12280000000000001</v>
      </c>
      <c r="H20" s="11">
        <v>-8.9200000000000002E-2</v>
      </c>
      <c r="I20" s="11">
        <v>-0.123</v>
      </c>
      <c r="J20" s="11">
        <v>-9.8000000000000004E-2</v>
      </c>
      <c r="K20" s="11">
        <v>-0.1323</v>
      </c>
      <c r="L20" s="11">
        <v>-0.109</v>
      </c>
      <c r="M20" s="11">
        <v>-0.20150000000000001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 t="s">
        <v>20</v>
      </c>
      <c r="B21" s="11">
        <v>1.9733000000000001</v>
      </c>
      <c r="C21" s="11">
        <v>4.1260000000000003</v>
      </c>
      <c r="D21" s="11">
        <v>2.4765999999999999</v>
      </c>
      <c r="E21" s="11">
        <v>3.8401000000000001</v>
      </c>
      <c r="F21" s="11">
        <v>1.4439</v>
      </c>
      <c r="G21" s="11">
        <v>3.8039000000000001</v>
      </c>
      <c r="H21" s="11">
        <v>1.5288999999999999</v>
      </c>
      <c r="I21" s="11">
        <v>3.5066000000000002</v>
      </c>
      <c r="J21" s="11">
        <v>1.6785000000000001</v>
      </c>
      <c r="K21" s="11">
        <v>2.8382999999999998</v>
      </c>
      <c r="L21" s="11">
        <v>0.87070000000000003</v>
      </c>
      <c r="M21" s="11">
        <v>3.6353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1">
        <v>-0.78190000000000004</v>
      </c>
      <c r="C22" s="11">
        <v>-1.0013000000000001</v>
      </c>
      <c r="D22" s="11">
        <v>-0.79869999999999997</v>
      </c>
      <c r="E22" s="11">
        <v>-0.90620000000000001</v>
      </c>
      <c r="F22" s="11">
        <v>-0.72140000000000004</v>
      </c>
      <c r="G22" s="11">
        <v>-1.0223</v>
      </c>
      <c r="H22" s="11">
        <v>-0.6845</v>
      </c>
      <c r="I22" s="11">
        <v>-1.0187999999999999</v>
      </c>
      <c r="J22" s="11">
        <v>-0.76529999999999998</v>
      </c>
      <c r="K22" s="11">
        <v>-1.1496999999999999</v>
      </c>
      <c r="L22" s="11">
        <v>-0.59309999999999996</v>
      </c>
      <c r="M22" s="11">
        <v>-1.1597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 t="s">
        <v>21</v>
      </c>
      <c r="B23" s="11">
        <v>3.4706999999999999</v>
      </c>
      <c r="C23" s="11">
        <v>4.3197000000000001</v>
      </c>
      <c r="D23" s="11">
        <v>3.3761999999999999</v>
      </c>
      <c r="E23" s="11">
        <v>1.7517</v>
      </c>
      <c r="F23" s="11">
        <v>3.1469</v>
      </c>
      <c r="G23" s="11">
        <v>6.1406999999999998</v>
      </c>
      <c r="H23" s="11">
        <v>3.6017999999999999</v>
      </c>
      <c r="I23" s="11">
        <v>5.08</v>
      </c>
      <c r="J23" s="11">
        <v>2.6806999999999999</v>
      </c>
      <c r="K23" s="11">
        <v>3.7957999999999998</v>
      </c>
      <c r="L23" s="11">
        <v>3.0259</v>
      </c>
      <c r="M23" s="11">
        <v>7.9793000000000003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1">
        <v>-0.749</v>
      </c>
      <c r="C24" s="11">
        <v>-1.4088000000000001</v>
      </c>
      <c r="D24" s="11">
        <v>-0.67110000000000003</v>
      </c>
      <c r="E24" s="11">
        <v>-0.9768</v>
      </c>
      <c r="F24" s="11">
        <v>-0.57869999999999999</v>
      </c>
      <c r="G24" s="11">
        <v>-1.3507</v>
      </c>
      <c r="H24" s="11">
        <v>-0.52110000000000001</v>
      </c>
      <c r="I24" s="11">
        <v>-1.4615</v>
      </c>
      <c r="J24" s="11">
        <v>-0.6794</v>
      </c>
      <c r="K24" s="11">
        <v>-1.3153999999999999</v>
      </c>
      <c r="L24" s="11">
        <v>-0.58309999999999995</v>
      </c>
      <c r="M24" s="11">
        <v>-1.5427999999999999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 t="s">
        <v>22</v>
      </c>
      <c r="B25" s="11">
        <v>-2.29E-2</v>
      </c>
      <c r="C25" s="11">
        <v>-0.55030000000000001</v>
      </c>
      <c r="D25" s="11">
        <v>-3.4599999999999999E-2</v>
      </c>
      <c r="E25" s="11">
        <v>-0.2888</v>
      </c>
      <c r="F25" s="11">
        <v>1.04E-2</v>
      </c>
      <c r="G25" s="11">
        <v>-0.36130000000000001</v>
      </c>
      <c r="H25" s="11">
        <v>-1.2500000000000001E-2</v>
      </c>
      <c r="I25" s="11">
        <v>-0.376</v>
      </c>
      <c r="J25" s="11">
        <v>-6.8999999999999999E-3</v>
      </c>
      <c r="K25" s="11">
        <v>-0.2319</v>
      </c>
      <c r="L25" s="11">
        <v>-1.6000000000000001E-3</v>
      </c>
      <c r="M25" s="11">
        <v>-0.81110000000000004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1">
        <v>-9.8100000000000007E-2</v>
      </c>
      <c r="C26" s="11">
        <v>-0.12429999999999999</v>
      </c>
      <c r="D26" s="11">
        <v>-0.1004</v>
      </c>
      <c r="E26" s="11">
        <v>-0.11210000000000001</v>
      </c>
      <c r="F26" s="11">
        <v>-9.1700000000000004E-2</v>
      </c>
      <c r="G26" s="11">
        <v>-0.14149999999999999</v>
      </c>
      <c r="H26" s="11">
        <v>-8.9200000000000002E-2</v>
      </c>
      <c r="I26" s="11">
        <v>-0.12479999999999999</v>
      </c>
      <c r="J26" s="11">
        <v>-9.4399999999999998E-2</v>
      </c>
      <c r="K26" s="11">
        <v>-0.1333</v>
      </c>
      <c r="L26" s="11">
        <v>-8.1100000000000005E-2</v>
      </c>
      <c r="M26" s="11">
        <v>-0.1348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5" t="s">
        <v>35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1" t="s">
        <v>6</v>
      </c>
      <c r="C29" s="11"/>
      <c r="D29" s="11" t="s">
        <v>7</v>
      </c>
      <c r="E29" s="11"/>
      <c r="F29" s="11" t="s">
        <v>8</v>
      </c>
      <c r="G29" s="11"/>
      <c r="H29" s="11" t="s">
        <v>9</v>
      </c>
      <c r="I29" s="11"/>
      <c r="J29" s="11" t="s">
        <v>10</v>
      </c>
      <c r="K29" s="11"/>
      <c r="L29" s="11" t="s">
        <v>11</v>
      </c>
      <c r="M29" s="1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 t="s">
        <v>14</v>
      </c>
      <c r="B30" s="11">
        <v>0.21199999999999999</v>
      </c>
      <c r="C30" s="11">
        <v>9.1700000000000004E-2</v>
      </c>
      <c r="D30" s="11">
        <v>0.19320000000000001</v>
      </c>
      <c r="E30" s="11">
        <v>0.30170000000000002</v>
      </c>
      <c r="F30" s="11">
        <v>0.2011</v>
      </c>
      <c r="G30" s="11">
        <v>-1.9900000000000001E-2</v>
      </c>
      <c r="H30" s="11">
        <v>0.2077</v>
      </c>
      <c r="I30" s="11">
        <v>0.31240000000000001</v>
      </c>
      <c r="J30" s="11">
        <v>0.16900000000000001</v>
      </c>
      <c r="K30" s="11">
        <v>-0.1721</v>
      </c>
      <c r="L30" s="11">
        <v>0.17960000000000001</v>
      </c>
      <c r="M30" s="11">
        <v>-0.10539999999999999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1">
        <v>-9.4399999999999998E-2</v>
      </c>
      <c r="C31" s="11">
        <v>-0.15440000000000001</v>
      </c>
      <c r="D31" s="11">
        <v>-9.5200000000000007E-2</v>
      </c>
      <c r="E31" s="11">
        <v>-0.17799999999999999</v>
      </c>
      <c r="F31" s="11">
        <v>-8.8400000000000006E-2</v>
      </c>
      <c r="G31" s="11">
        <v>-0.15409999999999999</v>
      </c>
      <c r="H31" s="11">
        <v>-8.9700000000000002E-2</v>
      </c>
      <c r="I31" s="11">
        <v>-0.1636</v>
      </c>
      <c r="J31" s="11">
        <v>-9.3600000000000003E-2</v>
      </c>
      <c r="K31" s="11">
        <v>-0.16700000000000001</v>
      </c>
      <c r="L31" s="11">
        <v>-7.9399999999999998E-2</v>
      </c>
      <c r="M31" s="11">
        <v>-0.14860000000000001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 t="s">
        <v>15</v>
      </c>
      <c r="B32" s="11">
        <v>-7.0999999999999994E-2</v>
      </c>
      <c r="C32" s="11">
        <v>-0.1608</v>
      </c>
      <c r="D32" s="11">
        <v>-9.0300000000000005E-2</v>
      </c>
      <c r="E32" s="11">
        <v>-6.1800000000000001E-2</v>
      </c>
      <c r="F32" s="11">
        <v>-7.7799999999999994E-2</v>
      </c>
      <c r="G32" s="11">
        <v>-0.34250000000000003</v>
      </c>
      <c r="H32" s="11">
        <v>-0.10879999999999999</v>
      </c>
      <c r="I32" s="11">
        <v>-9.98E-2</v>
      </c>
      <c r="J32" s="11">
        <v>3.5099999999999999E-2</v>
      </c>
      <c r="K32" s="11">
        <v>2.41E-2</v>
      </c>
      <c r="L32" s="11">
        <v>4.1200000000000001E-2</v>
      </c>
      <c r="M32" s="11">
        <v>-0.32469999999999999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1">
        <v>-0.1038</v>
      </c>
      <c r="C33" s="11">
        <v>-0.14749999999999999</v>
      </c>
      <c r="D33" s="11">
        <v>-9.7000000000000003E-2</v>
      </c>
      <c r="E33" s="11">
        <v>-0.11749999999999999</v>
      </c>
      <c r="F33" s="11">
        <v>-9.4700000000000006E-2</v>
      </c>
      <c r="G33" s="11">
        <v>-0.10539999999999999</v>
      </c>
      <c r="H33" s="11">
        <v>-9.8699999999999996E-2</v>
      </c>
      <c r="I33" s="11">
        <v>-0.1305</v>
      </c>
      <c r="J33" s="11">
        <v>-0.1053</v>
      </c>
      <c r="K33" s="11">
        <v>-0.13930000000000001</v>
      </c>
      <c r="L33" s="11">
        <v>-8.9200000000000002E-2</v>
      </c>
      <c r="M33" s="11">
        <v>-0.23769999999999999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 t="s">
        <v>20</v>
      </c>
      <c r="B34" s="11">
        <v>2.4003999999999999</v>
      </c>
      <c r="C34" s="11">
        <v>5.4568000000000003</v>
      </c>
      <c r="D34" s="11">
        <v>2.8978000000000002</v>
      </c>
      <c r="E34" s="11">
        <v>5.0970000000000004</v>
      </c>
      <c r="F34" s="11">
        <v>1.9782999999999999</v>
      </c>
      <c r="G34" s="11">
        <v>3.8289</v>
      </c>
      <c r="H34" s="11">
        <v>1.7702</v>
      </c>
      <c r="I34" s="11">
        <v>4.6660000000000004</v>
      </c>
      <c r="J34" s="11">
        <v>2.6358000000000001</v>
      </c>
      <c r="K34" s="11">
        <v>3.9809000000000001</v>
      </c>
      <c r="L34" s="11">
        <v>1.804</v>
      </c>
      <c r="M34" s="11">
        <v>4.9301000000000004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1">
        <v>-0.77059999999999995</v>
      </c>
      <c r="C35" s="11">
        <v>-1.0499000000000001</v>
      </c>
      <c r="D35" s="11">
        <v>-0.79820000000000002</v>
      </c>
      <c r="E35" s="11">
        <v>-1.0893999999999999</v>
      </c>
      <c r="F35" s="11">
        <v>-0.74850000000000005</v>
      </c>
      <c r="G35" s="11">
        <v>-1.0369999999999999</v>
      </c>
      <c r="H35" s="11">
        <v>-0.70530000000000004</v>
      </c>
      <c r="I35" s="11">
        <v>-0.98219999999999996</v>
      </c>
      <c r="J35" s="11">
        <v>-0.80559999999999998</v>
      </c>
      <c r="K35" s="11">
        <v>-1.0694999999999999</v>
      </c>
      <c r="L35" s="11">
        <v>-0.6986</v>
      </c>
      <c r="M35" s="11">
        <v>-1.175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 t="s">
        <v>21</v>
      </c>
      <c r="B36" s="11">
        <v>3.4847000000000001</v>
      </c>
      <c r="C36" s="11">
        <v>5.5978000000000003</v>
      </c>
      <c r="D36" s="11">
        <v>3.5367000000000002</v>
      </c>
      <c r="E36" s="11">
        <v>3.0211999999999999</v>
      </c>
      <c r="F36" s="11">
        <v>3.2355</v>
      </c>
      <c r="G36" s="11">
        <v>6.8303000000000003</v>
      </c>
      <c r="H36" s="11">
        <v>3.8212000000000002</v>
      </c>
      <c r="I36" s="11">
        <v>3.0583</v>
      </c>
      <c r="J36" s="11">
        <v>2.7065999999999999</v>
      </c>
      <c r="K36" s="11">
        <v>4.5355999999999996</v>
      </c>
      <c r="L36" s="11">
        <v>2.6541000000000001</v>
      </c>
      <c r="M36" s="11">
        <v>5.8609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1">
        <v>-0.79259999999999997</v>
      </c>
      <c r="C37" s="11">
        <v>-1.6232</v>
      </c>
      <c r="D37" s="11">
        <v>-0.71870000000000001</v>
      </c>
      <c r="E37" s="11">
        <v>-1.1416999999999999</v>
      </c>
      <c r="F37" s="11">
        <v>-0.58640000000000003</v>
      </c>
      <c r="G37" s="11">
        <v>-1.1568000000000001</v>
      </c>
      <c r="H37" s="11">
        <v>-0.56040000000000001</v>
      </c>
      <c r="I37" s="11">
        <v>-1.5868</v>
      </c>
      <c r="J37" s="11">
        <v>-0.71619999999999995</v>
      </c>
      <c r="K37" s="11">
        <v>-1.2948999999999999</v>
      </c>
      <c r="L37" s="11">
        <v>-0.56910000000000005</v>
      </c>
      <c r="M37" s="11">
        <v>-1.5036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 t="s">
        <v>22</v>
      </c>
      <c r="B38" s="11">
        <v>-0.1258</v>
      </c>
      <c r="C38" s="11">
        <v>-0.52739999999999998</v>
      </c>
      <c r="D38" s="11">
        <v>-0.1497</v>
      </c>
      <c r="E38" s="11">
        <v>-0.41770000000000002</v>
      </c>
      <c r="F38" s="11">
        <v>-0.1096</v>
      </c>
      <c r="G38" s="11">
        <v>-4.8899999999999999E-2</v>
      </c>
      <c r="H38" s="11">
        <v>-9.7799999999999998E-2</v>
      </c>
      <c r="I38" s="11">
        <v>-0.18440000000000001</v>
      </c>
      <c r="J38" s="11">
        <v>-0.16900000000000001</v>
      </c>
      <c r="K38" s="11">
        <v>-3.95E-2</v>
      </c>
      <c r="L38" s="11">
        <v>-1.1299999999999999E-2</v>
      </c>
      <c r="M38" s="11">
        <v>-0.61660000000000004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1">
        <v>-0.10050000000000001</v>
      </c>
      <c r="C39" s="11">
        <v>-0.1147</v>
      </c>
      <c r="D39" s="11">
        <v>-0.1027</v>
      </c>
      <c r="E39" s="11">
        <v>-0.1082</v>
      </c>
      <c r="F39" s="11">
        <v>-9.7600000000000006E-2</v>
      </c>
      <c r="G39" s="11">
        <v>-0.11210000000000001</v>
      </c>
      <c r="H39" s="11">
        <v>-9.6100000000000005E-2</v>
      </c>
      <c r="I39" s="11">
        <v>-0.1012</v>
      </c>
      <c r="J39" s="11">
        <v>-0.10100000000000001</v>
      </c>
      <c r="K39" s="11">
        <v>-0.13420000000000001</v>
      </c>
      <c r="L39" s="11">
        <v>-9.2200000000000004E-2</v>
      </c>
      <c r="M39" s="11">
        <v>-0.14149999999999999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5" t="s">
        <v>36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1" t="s">
        <v>6</v>
      </c>
      <c r="C42" s="11"/>
      <c r="D42" s="11" t="s">
        <v>7</v>
      </c>
      <c r="E42" s="11"/>
      <c r="F42" s="11" t="s">
        <v>8</v>
      </c>
      <c r="G42" s="11"/>
      <c r="H42" s="11" t="s">
        <v>9</v>
      </c>
      <c r="I42" s="11"/>
      <c r="J42" s="11" t="s">
        <v>10</v>
      </c>
      <c r="K42" s="11"/>
      <c r="L42" s="11" t="s">
        <v>11</v>
      </c>
      <c r="M42" s="1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 t="s">
        <v>14</v>
      </c>
      <c r="B43" s="11">
        <v>0.30399999999999999</v>
      </c>
      <c r="C43" s="11">
        <v>0.2606</v>
      </c>
      <c r="D43" s="11">
        <v>0.30649999999999999</v>
      </c>
      <c r="E43" s="11">
        <v>0.44519999999999998</v>
      </c>
      <c r="F43" s="11">
        <v>0.28549999999999998</v>
      </c>
      <c r="G43" s="11">
        <v>0.27029999999999998</v>
      </c>
      <c r="H43" s="11">
        <v>0.2581</v>
      </c>
      <c r="I43" s="11">
        <v>0.64980000000000004</v>
      </c>
      <c r="J43" s="11">
        <v>0.2772</v>
      </c>
      <c r="K43" s="11">
        <v>0.27739999999999998</v>
      </c>
      <c r="L43" s="11">
        <v>0.22889999999999999</v>
      </c>
      <c r="M43" s="11">
        <v>0.56579999999999997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1">
        <v>-9.8599999999999993E-2</v>
      </c>
      <c r="C44" s="11">
        <v>-0.15920000000000001</v>
      </c>
      <c r="D44" s="11">
        <v>-9.6500000000000002E-2</v>
      </c>
      <c r="E44" s="11">
        <v>-0.16880000000000001</v>
      </c>
      <c r="F44" s="11">
        <v>-9.3600000000000003E-2</v>
      </c>
      <c r="G44" s="11">
        <v>-0.13189999999999999</v>
      </c>
      <c r="H44" s="11">
        <v>-9.3200000000000005E-2</v>
      </c>
      <c r="I44" s="11">
        <v>-0.12529999999999999</v>
      </c>
      <c r="J44" s="11">
        <v>-9.8900000000000002E-2</v>
      </c>
      <c r="K44" s="11">
        <v>-0.1832</v>
      </c>
      <c r="L44" s="11">
        <v>-7.3400000000000007E-2</v>
      </c>
      <c r="M44" s="11">
        <v>-0.17849999999999999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 t="s">
        <v>15</v>
      </c>
      <c r="B45" s="11">
        <v>-0.20979999999999999</v>
      </c>
      <c r="C45" s="11">
        <v>-0.35120000000000001</v>
      </c>
      <c r="D45" s="11">
        <v>-0.2165</v>
      </c>
      <c r="E45" s="11">
        <v>-0.191</v>
      </c>
      <c r="F45" s="11">
        <v>-0.2016</v>
      </c>
      <c r="G45" s="11">
        <v>-0.29749999999999999</v>
      </c>
      <c r="H45" s="11">
        <v>-0.20430000000000001</v>
      </c>
      <c r="I45" s="11">
        <v>-0.27139999999999997</v>
      </c>
      <c r="J45" s="11">
        <v>-0.15079999999999999</v>
      </c>
      <c r="K45" s="11">
        <v>-0.44769999999999999</v>
      </c>
      <c r="L45" s="11">
        <v>7.8700000000000006E-2</v>
      </c>
      <c r="M45" s="11">
        <v>-0.15129999999999999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1">
        <v>-9.8199999999999996E-2</v>
      </c>
      <c r="C46" s="11">
        <v>-0.1822</v>
      </c>
      <c r="D46" s="11">
        <v>-9.0399999999999994E-2</v>
      </c>
      <c r="E46" s="11">
        <v>-0.15909999999999999</v>
      </c>
      <c r="F46" s="11">
        <v>-8.77E-2</v>
      </c>
      <c r="G46" s="11">
        <v>-0.13969999999999999</v>
      </c>
      <c r="H46" s="11">
        <v>-9.1700000000000004E-2</v>
      </c>
      <c r="I46" s="11">
        <v>-0.11849999999999999</v>
      </c>
      <c r="J46" s="11">
        <v>-0.1024</v>
      </c>
      <c r="K46" s="11">
        <v>-0.17979999999999999</v>
      </c>
      <c r="L46" s="11">
        <v>-8.8900000000000007E-2</v>
      </c>
      <c r="M46" s="11">
        <v>-0.28100000000000003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 t="s">
        <v>20</v>
      </c>
      <c r="B47" s="11">
        <v>1.8483000000000001</v>
      </c>
      <c r="C47" s="11">
        <v>5.2774999999999999</v>
      </c>
      <c r="D47" s="11">
        <v>2.1722999999999999</v>
      </c>
      <c r="E47" s="11">
        <v>3.6116999999999999</v>
      </c>
      <c r="F47" s="11">
        <v>1.4471000000000001</v>
      </c>
      <c r="G47" s="11">
        <v>3.4876</v>
      </c>
      <c r="H47" s="11">
        <v>1.3085</v>
      </c>
      <c r="I47" s="11">
        <v>2.9357000000000002</v>
      </c>
      <c r="J47" s="11">
        <v>2.2673000000000001</v>
      </c>
      <c r="K47" s="11">
        <v>3.1147</v>
      </c>
      <c r="L47" s="11">
        <v>1.4146000000000001</v>
      </c>
      <c r="M47" s="11">
        <v>7.4909999999999997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1">
        <v>-0.79820000000000002</v>
      </c>
      <c r="C48" s="11">
        <v>-0.99570000000000003</v>
      </c>
      <c r="D48" s="11">
        <v>-0.79020000000000001</v>
      </c>
      <c r="E48" s="11">
        <v>-1.0459000000000001</v>
      </c>
      <c r="F48" s="11">
        <v>-0.77080000000000004</v>
      </c>
      <c r="G48" s="11">
        <v>-0.86099999999999999</v>
      </c>
      <c r="H48" s="11">
        <v>-0.73419999999999996</v>
      </c>
      <c r="I48" s="11">
        <v>-0.73129999999999995</v>
      </c>
      <c r="J48" s="11">
        <v>-0.77049999999999996</v>
      </c>
      <c r="K48" s="11">
        <v>-0.94850000000000001</v>
      </c>
      <c r="L48" s="11">
        <v>-0.60770000000000002</v>
      </c>
      <c r="M48" s="11">
        <v>-1.3160000000000001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 t="s">
        <v>21</v>
      </c>
      <c r="B49" s="11">
        <v>3.15</v>
      </c>
      <c r="C49" s="11">
        <v>3.7360000000000002</v>
      </c>
      <c r="D49" s="11">
        <v>3.0182000000000002</v>
      </c>
      <c r="E49" s="11">
        <v>2.8246000000000002</v>
      </c>
      <c r="F49" s="11">
        <v>3.2363</v>
      </c>
      <c r="G49" s="11">
        <v>3.6768999999999998</v>
      </c>
      <c r="H49" s="11">
        <v>3.6638999999999999</v>
      </c>
      <c r="I49" s="11">
        <v>3.7699999999999997E-2</v>
      </c>
      <c r="J49" s="11">
        <v>2.4426000000000001</v>
      </c>
      <c r="K49" s="11">
        <v>4.0658000000000003</v>
      </c>
      <c r="L49" s="11">
        <v>2.0832000000000002</v>
      </c>
      <c r="M49" s="11">
        <v>3.8645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1">
        <v>-0.82620000000000005</v>
      </c>
      <c r="C50" s="11">
        <v>-1.2231000000000001</v>
      </c>
      <c r="D50" s="11">
        <v>-0.74060000000000004</v>
      </c>
      <c r="E50" s="11">
        <v>-1.0216000000000001</v>
      </c>
      <c r="F50" s="11">
        <v>-0.55740000000000001</v>
      </c>
      <c r="G50" s="11">
        <v>-0.99790000000000001</v>
      </c>
      <c r="H50" s="11">
        <v>-0.60270000000000001</v>
      </c>
      <c r="I50" s="11">
        <v>-1.0494000000000001</v>
      </c>
      <c r="J50" s="11">
        <v>-0.68010000000000004</v>
      </c>
      <c r="K50" s="11">
        <v>-1.2764</v>
      </c>
      <c r="L50" s="11">
        <v>-0.57530000000000003</v>
      </c>
      <c r="M50" s="11">
        <v>-1.9603999999999999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 t="s">
        <v>22</v>
      </c>
      <c r="B51" s="11">
        <v>-6.5000000000000002E-2</v>
      </c>
      <c r="C51" s="11">
        <v>-0.34549999999999997</v>
      </c>
      <c r="D51" s="11">
        <v>-7.0400000000000004E-2</v>
      </c>
      <c r="E51" s="11">
        <v>-0.2555</v>
      </c>
      <c r="F51" s="11">
        <v>-9.5699999999999993E-2</v>
      </c>
      <c r="G51" s="11">
        <v>-0.30020000000000002</v>
      </c>
      <c r="H51" s="11">
        <v>-6.8000000000000005E-2</v>
      </c>
      <c r="I51" s="11">
        <v>-9.6500000000000002E-2</v>
      </c>
      <c r="J51" s="11">
        <v>-0.1052</v>
      </c>
      <c r="K51" s="11">
        <v>-7.2700000000000001E-2</v>
      </c>
      <c r="L51" s="11">
        <v>-1.2800000000000001E-2</v>
      </c>
      <c r="M51" s="11">
        <v>-0.73280000000000001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1">
        <v>-0.1008</v>
      </c>
      <c r="C52" s="11">
        <v>-0.14380000000000001</v>
      </c>
      <c r="D52" s="11">
        <v>-0.1008</v>
      </c>
      <c r="E52" s="11">
        <v>-0.13</v>
      </c>
      <c r="F52" s="11">
        <v>-9.3899999999999997E-2</v>
      </c>
      <c r="G52" s="11">
        <v>-0.10249999999999999</v>
      </c>
      <c r="H52" s="11">
        <v>-9.3799999999999994E-2</v>
      </c>
      <c r="I52" s="11">
        <v>-9.5399999999999999E-2</v>
      </c>
      <c r="J52" s="11">
        <v>-9.9099999999999994E-2</v>
      </c>
      <c r="K52" s="11">
        <v>-0.14180000000000001</v>
      </c>
      <c r="L52" s="11">
        <v>-7.85E-2</v>
      </c>
      <c r="M52" s="11">
        <v>-0.15989999999999999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5" t="s">
        <v>37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1" t="s">
        <v>6</v>
      </c>
      <c r="C55" s="11"/>
      <c r="D55" s="11" t="s">
        <v>7</v>
      </c>
      <c r="E55" s="11"/>
      <c r="F55" s="11" t="s">
        <v>8</v>
      </c>
      <c r="G55" s="11"/>
      <c r="H55" s="11" t="s">
        <v>9</v>
      </c>
      <c r="I55" s="11"/>
      <c r="J55" s="11" t="s">
        <v>10</v>
      </c>
      <c r="K55" s="11"/>
      <c r="L55" s="11" t="s">
        <v>11</v>
      </c>
      <c r="M55" s="1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 t="s">
        <v>14</v>
      </c>
      <c r="B56" s="11">
        <v>0.1676</v>
      </c>
      <c r="C56" s="11">
        <v>0.3392</v>
      </c>
      <c r="D56" s="11">
        <v>0.13339999999999999</v>
      </c>
      <c r="E56" s="11">
        <v>0.30930000000000002</v>
      </c>
      <c r="F56" s="11">
        <v>0.16109999999999999</v>
      </c>
      <c r="G56" s="11">
        <v>0.311</v>
      </c>
      <c r="H56" s="11">
        <v>0.18290000000000001</v>
      </c>
      <c r="I56" s="11">
        <v>0.40050000000000002</v>
      </c>
      <c r="J56" s="11">
        <v>0.1573</v>
      </c>
      <c r="K56" s="11">
        <v>0.14410000000000001</v>
      </c>
      <c r="L56" s="11">
        <v>0.16089999999999999</v>
      </c>
      <c r="M56" s="11">
        <v>9.8100000000000007E-2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1">
        <v>-8.9200000000000002E-2</v>
      </c>
      <c r="C57" s="11">
        <v>-0.19400000000000001</v>
      </c>
      <c r="D57" s="11">
        <v>-9.6199999999999994E-2</v>
      </c>
      <c r="E57" s="11">
        <v>-0.1794</v>
      </c>
      <c r="F57" s="11">
        <v>-8.6300000000000002E-2</v>
      </c>
      <c r="G57" s="11">
        <v>-0.2064</v>
      </c>
      <c r="H57" s="11">
        <v>-8.2900000000000001E-2</v>
      </c>
      <c r="I57" s="11">
        <v>-0.17799999999999999</v>
      </c>
      <c r="J57" s="11">
        <v>-8.3199999999999996E-2</v>
      </c>
      <c r="K57" s="11">
        <v>-0.20799999999999999</v>
      </c>
      <c r="L57" s="11">
        <v>-7.0199999999999999E-2</v>
      </c>
      <c r="M57" s="11">
        <v>-0.20699999999999999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 t="s">
        <v>15</v>
      </c>
      <c r="B58" s="11">
        <v>-0.11650000000000001</v>
      </c>
      <c r="C58" s="11">
        <v>-0.36559999999999998</v>
      </c>
      <c r="D58" s="11">
        <v>-0.1353</v>
      </c>
      <c r="E58" s="11">
        <v>2.3900000000000001E-2</v>
      </c>
      <c r="F58" s="11">
        <v>-0.1095</v>
      </c>
      <c r="G58" s="11">
        <v>-0.1477</v>
      </c>
      <c r="H58" s="11">
        <v>-0.12870000000000001</v>
      </c>
      <c r="I58" s="11">
        <v>-0.25219999999999998</v>
      </c>
      <c r="J58" s="11">
        <v>-5.3900000000000003E-2</v>
      </c>
      <c r="K58" s="11">
        <v>-1.7600000000000001E-2</v>
      </c>
      <c r="L58" s="11">
        <v>3.95E-2</v>
      </c>
      <c r="M58" s="11">
        <v>6.6199999999999995E-2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1">
        <v>-8.8300000000000003E-2</v>
      </c>
      <c r="C59" s="11">
        <v>-0.1817</v>
      </c>
      <c r="D59" s="11">
        <v>-8.8200000000000001E-2</v>
      </c>
      <c r="E59" s="11">
        <v>-0.1447</v>
      </c>
      <c r="F59" s="11">
        <v>-8.72E-2</v>
      </c>
      <c r="G59" s="11">
        <v>-0.15670000000000001</v>
      </c>
      <c r="H59" s="11">
        <v>-8.1199999999999994E-2</v>
      </c>
      <c r="I59" s="11">
        <v>-0.13420000000000001</v>
      </c>
      <c r="J59" s="11">
        <v>-9.2499999999999999E-2</v>
      </c>
      <c r="K59" s="11">
        <v>-0.17</v>
      </c>
      <c r="L59" s="11">
        <v>-9.1300000000000006E-2</v>
      </c>
      <c r="M59" s="11">
        <v>-0.27110000000000001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 t="s">
        <v>20</v>
      </c>
      <c r="B60" s="11">
        <v>2.0937999999999999</v>
      </c>
      <c r="C60" s="11">
        <v>6.2910000000000004</v>
      </c>
      <c r="D60" s="11">
        <v>2.5497999999999998</v>
      </c>
      <c r="E60" s="11">
        <v>4.0438000000000001</v>
      </c>
      <c r="F60" s="11">
        <v>1.6744000000000001</v>
      </c>
      <c r="G60" s="11">
        <v>3.3972000000000002</v>
      </c>
      <c r="H60" s="11">
        <v>1.62</v>
      </c>
      <c r="I60" s="11">
        <v>3.7924000000000002</v>
      </c>
      <c r="J60" s="11">
        <v>1.6838</v>
      </c>
      <c r="K60" s="11">
        <v>4.2154999999999996</v>
      </c>
      <c r="L60" s="11">
        <v>1.1586000000000001</v>
      </c>
      <c r="M60" s="11">
        <v>4.1017000000000001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1">
        <v>-0.68100000000000005</v>
      </c>
      <c r="C61" s="11">
        <v>-1.0981000000000001</v>
      </c>
      <c r="D61" s="11">
        <v>-0.72960000000000003</v>
      </c>
      <c r="E61" s="11">
        <v>-0.97819999999999996</v>
      </c>
      <c r="F61" s="11">
        <v>-0.67720000000000002</v>
      </c>
      <c r="G61" s="11">
        <v>-1.2357</v>
      </c>
      <c r="H61" s="11">
        <v>-0.61470000000000002</v>
      </c>
      <c r="I61" s="11">
        <v>-0.98919999999999997</v>
      </c>
      <c r="J61" s="11">
        <v>-0.64780000000000004</v>
      </c>
      <c r="K61" s="11">
        <v>-1.0113000000000001</v>
      </c>
      <c r="L61" s="11">
        <v>-0.56459999999999999</v>
      </c>
      <c r="M61" s="11">
        <v>-1.345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 t="s">
        <v>21</v>
      </c>
      <c r="B62" s="11">
        <v>2.6368</v>
      </c>
      <c r="C62" s="11">
        <v>5.3620000000000001</v>
      </c>
      <c r="D62" s="11">
        <v>3.0567000000000002</v>
      </c>
      <c r="E62" s="11">
        <v>1.9482999999999999</v>
      </c>
      <c r="F62" s="11">
        <v>2.5200999999999998</v>
      </c>
      <c r="G62" s="11">
        <v>3.8132999999999999</v>
      </c>
      <c r="H62" s="11">
        <v>3.3956</v>
      </c>
      <c r="I62" s="11">
        <v>2.0299</v>
      </c>
      <c r="J62" s="11">
        <v>2.2149000000000001</v>
      </c>
      <c r="K62" s="11">
        <v>2.6004</v>
      </c>
      <c r="L62" s="11">
        <v>2.2486000000000002</v>
      </c>
      <c r="M62" s="11">
        <v>6.7375999999999996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1">
        <v>-0.77829999999999999</v>
      </c>
      <c r="C63" s="11">
        <v>-1.3975</v>
      </c>
      <c r="D63" s="11">
        <v>-0.70809999999999995</v>
      </c>
      <c r="E63" s="11">
        <v>-1.1065</v>
      </c>
      <c r="F63" s="11">
        <v>-0.59709999999999996</v>
      </c>
      <c r="G63" s="11">
        <v>-1.0629999999999999</v>
      </c>
      <c r="H63" s="11">
        <v>-0.53129999999999999</v>
      </c>
      <c r="I63" s="11">
        <v>-1.0494000000000001</v>
      </c>
      <c r="J63" s="11">
        <v>-0.62739999999999996</v>
      </c>
      <c r="K63" s="11">
        <v>-1.2758</v>
      </c>
      <c r="L63" s="11">
        <v>-0.58689999999999998</v>
      </c>
      <c r="M63" s="11">
        <v>-1.7051000000000001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 t="s">
        <v>22</v>
      </c>
      <c r="B64" s="11">
        <v>-1.09E-2</v>
      </c>
      <c r="C64" s="11">
        <v>-0.80510000000000004</v>
      </c>
      <c r="D64" s="11">
        <v>-7.8399999999999997E-2</v>
      </c>
      <c r="E64" s="11">
        <v>-0.36209999999999998</v>
      </c>
      <c r="F64" s="11">
        <v>2.98E-2</v>
      </c>
      <c r="G64" s="11">
        <v>-0.42120000000000002</v>
      </c>
      <c r="H64" s="11">
        <v>-1.1599999999999999E-2</v>
      </c>
      <c r="I64" s="11">
        <v>-0.24160000000000001</v>
      </c>
      <c r="J64" s="11">
        <v>-7.1000000000000004E-3</v>
      </c>
      <c r="K64" s="11">
        <v>-0.2392</v>
      </c>
      <c r="L64" s="11">
        <v>2.9399999999999999E-2</v>
      </c>
      <c r="M64" s="11">
        <v>-1.0958000000000001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1">
        <v>-9.2999999999999999E-2</v>
      </c>
      <c r="C65" s="11">
        <v>-0.13980000000000001</v>
      </c>
      <c r="D65" s="11">
        <v>-9.8599999999999993E-2</v>
      </c>
      <c r="E65" s="11">
        <v>-0.12570000000000001</v>
      </c>
      <c r="F65" s="11">
        <v>-8.9899999999999994E-2</v>
      </c>
      <c r="G65" s="11">
        <v>-0.14280000000000001</v>
      </c>
      <c r="H65" s="11">
        <v>-8.3799999999999999E-2</v>
      </c>
      <c r="I65" s="11">
        <v>-0.12239999999999999</v>
      </c>
      <c r="J65" s="11">
        <v>-8.72E-2</v>
      </c>
      <c r="K65" s="11">
        <v>-0.1452</v>
      </c>
      <c r="L65" s="11">
        <v>-7.8E-2</v>
      </c>
      <c r="M65" s="11">
        <v>-0.1492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M2"/>
    <mergeCell ref="B15:M15"/>
    <mergeCell ref="B28:M28"/>
    <mergeCell ref="B41:M41"/>
    <mergeCell ref="B54:M5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4.42578125" defaultRowHeight="15" customHeight="1" x14ac:dyDescent="0.25"/>
  <cols>
    <col min="1" max="1" width="28.42578125" customWidth="1"/>
    <col min="2" max="11" width="10.28515625" customWidth="1"/>
    <col min="12" max="12" width="9.5703125" customWidth="1"/>
    <col min="13" max="13" width="10.28515625" customWidth="1"/>
    <col min="14" max="26" width="8.7109375" customWidth="1"/>
  </cols>
  <sheetData>
    <row r="1" spans="1:26" x14ac:dyDescent="0.25">
      <c r="A1" s="1"/>
      <c r="B1" s="11" t="s">
        <v>23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5" t="s">
        <v>33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1" t="s">
        <v>6</v>
      </c>
      <c r="C3" s="11"/>
      <c r="D3" s="11" t="s">
        <v>7</v>
      </c>
      <c r="E3" s="11"/>
      <c r="F3" s="11" t="s">
        <v>8</v>
      </c>
      <c r="G3" s="11"/>
      <c r="H3" s="11" t="s">
        <v>9</v>
      </c>
      <c r="I3" s="11"/>
      <c r="J3" s="11" t="s">
        <v>10</v>
      </c>
      <c r="K3" s="11"/>
      <c r="L3" s="11" t="s">
        <v>11</v>
      </c>
      <c r="M3" s="1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 t="s">
        <v>24</v>
      </c>
      <c r="B4" s="11">
        <v>3.1899999999999998E-2</v>
      </c>
      <c r="C4" s="11">
        <v>-1.24E-2</v>
      </c>
      <c r="D4" s="11">
        <v>2.4500000000000001E-2</v>
      </c>
      <c r="E4" s="11">
        <v>1.4E-3</v>
      </c>
      <c r="F4" s="11">
        <v>2.81E-2</v>
      </c>
      <c r="G4" s="11">
        <v>3.0000000000000001E-3</v>
      </c>
      <c r="H4" s="11">
        <v>2.87E-2</v>
      </c>
      <c r="I4" s="11">
        <v>-5.9999999999999995E-4</v>
      </c>
      <c r="J4" s="11">
        <v>2.7199999999999998E-2</v>
      </c>
      <c r="K4" s="11">
        <v>-1.66E-2</v>
      </c>
      <c r="L4" s="11">
        <v>4.6399999999999997E-2</v>
      </c>
      <c r="M4" s="11">
        <v>-3.7400000000000003E-2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1">
        <v>-3.8E-3</v>
      </c>
      <c r="C5" s="11">
        <v>-6.7999999999999996E-3</v>
      </c>
      <c r="D5" s="11">
        <v>-3.5000000000000001E-3</v>
      </c>
      <c r="E5" s="11">
        <v>-8.8000000000000005E-3</v>
      </c>
      <c r="F5" s="11">
        <v>-6.4999999999999997E-3</v>
      </c>
      <c r="G5" s="11">
        <v>-8.8000000000000005E-3</v>
      </c>
      <c r="H5" s="11">
        <v>-7.1000000000000004E-3</v>
      </c>
      <c r="I5" s="11">
        <v>-8.2000000000000007E-3</v>
      </c>
      <c r="J5" s="11">
        <v>-3.0999999999999999E-3</v>
      </c>
      <c r="K5" s="11">
        <v>-1.11E-2</v>
      </c>
      <c r="L5" s="11">
        <v>-4.5999999999999999E-3</v>
      </c>
      <c r="M5" s="11">
        <v>-1.0699999999999999E-2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 t="s">
        <v>25</v>
      </c>
      <c r="B6" s="11">
        <v>0.14380000000000001</v>
      </c>
      <c r="C6" s="11">
        <v>0.39090000000000003</v>
      </c>
      <c r="D6" s="11">
        <v>0.182</v>
      </c>
      <c r="E6" s="11">
        <v>0.51900000000000002</v>
      </c>
      <c r="F6" s="11">
        <v>8.5099999999999995E-2</v>
      </c>
      <c r="G6" s="11">
        <v>0.30669999999999997</v>
      </c>
      <c r="H6" s="11">
        <v>0.1162</v>
      </c>
      <c r="I6" s="11">
        <v>0.44640000000000002</v>
      </c>
      <c r="J6" s="11">
        <v>0.20449999999999999</v>
      </c>
      <c r="K6" s="11">
        <v>0.3876</v>
      </c>
      <c r="L6" s="11">
        <v>0.12959999999999999</v>
      </c>
      <c r="M6" s="11">
        <v>0.35970000000000002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1">
        <v>-2.8500000000000001E-2</v>
      </c>
      <c r="C7" s="11">
        <v>-6.4600000000000005E-2</v>
      </c>
      <c r="D7" s="11">
        <v>-2.7900000000000001E-2</v>
      </c>
      <c r="E7" s="11">
        <v>-7.2400000000000006E-2</v>
      </c>
      <c r="F7" s="11">
        <v>-4.87E-2</v>
      </c>
      <c r="G7" s="11">
        <v>-8.0100000000000005E-2</v>
      </c>
      <c r="H7" s="11">
        <v>-3.78E-2</v>
      </c>
      <c r="I7" s="11">
        <v>-5.8900000000000001E-2</v>
      </c>
      <c r="J7" s="11">
        <v>-2.7199999999999998E-2</v>
      </c>
      <c r="K7" s="11">
        <v>-7.5499999999999998E-2</v>
      </c>
      <c r="L7" s="11">
        <v>-2.9899999999999999E-2</v>
      </c>
      <c r="M7" s="11">
        <v>-7.0499999999999993E-2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 t="s">
        <v>14</v>
      </c>
      <c r="B8" s="11">
        <v>1E-3</v>
      </c>
      <c r="C8" s="11">
        <v>-3.3700000000000001E-2</v>
      </c>
      <c r="D8" s="11">
        <v>5.7999999999999996E-3</v>
      </c>
      <c r="E8" s="11">
        <v>-3.1800000000000002E-2</v>
      </c>
      <c r="F8" s="11">
        <v>1.2E-2</v>
      </c>
      <c r="G8" s="11">
        <v>-2.2800000000000001E-2</v>
      </c>
      <c r="H8" s="11">
        <v>5.5999999999999999E-3</v>
      </c>
      <c r="I8" s="11">
        <v>-3.3300000000000003E-2</v>
      </c>
      <c r="J8" s="11">
        <v>2.2000000000000001E-3</v>
      </c>
      <c r="K8" s="11">
        <v>-2.3E-2</v>
      </c>
      <c r="L8" s="11">
        <v>8.3000000000000001E-3</v>
      </c>
      <c r="M8" s="11">
        <v>7.4000000000000003E-3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1">
        <v>-5.0000000000000001E-3</v>
      </c>
      <c r="C9" s="11">
        <v>-1.11E-2</v>
      </c>
      <c r="D9" s="11">
        <v>-5.4999999999999997E-3</v>
      </c>
      <c r="E9" s="11">
        <v>-1.1299999999999999E-2</v>
      </c>
      <c r="F9" s="11">
        <v>-7.4000000000000003E-3</v>
      </c>
      <c r="G9" s="11">
        <v>-1.3100000000000001E-2</v>
      </c>
      <c r="H9" s="11">
        <v>-7.0000000000000001E-3</v>
      </c>
      <c r="I9" s="11">
        <v>-1.2E-2</v>
      </c>
      <c r="J9" s="11">
        <v>-5.1999999999999998E-3</v>
      </c>
      <c r="K9" s="11">
        <v>-1.14E-2</v>
      </c>
      <c r="L9" s="11">
        <v>-5.8999999999999999E-3</v>
      </c>
      <c r="M9" s="11">
        <v>-9.1999999999999998E-3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 t="s">
        <v>26</v>
      </c>
      <c r="B10" s="11">
        <v>0.29799999999999999</v>
      </c>
      <c r="C10" s="11">
        <v>6.5799999999999997E-2</v>
      </c>
      <c r="D10" s="11">
        <v>0.28389999999999999</v>
      </c>
      <c r="E10" s="11">
        <v>0.2414</v>
      </c>
      <c r="F10" s="11">
        <v>0.32900000000000001</v>
      </c>
      <c r="G10" s="11">
        <v>0.14330000000000001</v>
      </c>
      <c r="H10" s="11">
        <v>0.29580000000000001</v>
      </c>
      <c r="I10" s="11">
        <v>8.0600000000000005E-2</v>
      </c>
      <c r="J10" s="11">
        <v>0.29049999999999998</v>
      </c>
      <c r="K10" s="11">
        <v>0.22950000000000001</v>
      </c>
      <c r="L10" s="11">
        <v>0.28270000000000001</v>
      </c>
      <c r="M10" s="11">
        <v>0.32379999999999998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11">
        <v>-1.54E-2</v>
      </c>
      <c r="C11" s="11">
        <v>-3.56E-2</v>
      </c>
      <c r="D11" s="11">
        <v>-1.6400000000000001E-2</v>
      </c>
      <c r="E11" s="11">
        <v>-3.4000000000000002E-2</v>
      </c>
      <c r="F11" s="11">
        <v>-2.5700000000000001E-2</v>
      </c>
      <c r="G11" s="11">
        <v>-4.2599999999999999E-2</v>
      </c>
      <c r="H11" s="11">
        <v>-2.24E-2</v>
      </c>
      <c r="I11" s="11">
        <v>-3.2899999999999999E-2</v>
      </c>
      <c r="J11" s="11">
        <v>-1.49E-2</v>
      </c>
      <c r="K11" s="11">
        <v>-4.7100000000000003E-2</v>
      </c>
      <c r="L11" s="11">
        <v>-1.54E-2</v>
      </c>
      <c r="M11" s="11">
        <v>-4.2900000000000001E-2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 t="s">
        <v>27</v>
      </c>
      <c r="B12" s="11">
        <v>-9.4000000000000004E-3</v>
      </c>
      <c r="C12" s="11">
        <v>-2.4500000000000001E-2</v>
      </c>
      <c r="D12" s="11">
        <v>-1.15E-2</v>
      </c>
      <c r="E12" s="11">
        <v>6.9999999999999999E-4</v>
      </c>
      <c r="F12" s="11">
        <v>-2.5000000000000001E-3</v>
      </c>
      <c r="G12" s="11">
        <v>-2.5499999999999998E-2</v>
      </c>
      <c r="H12" s="11">
        <v>-1.0200000000000001E-2</v>
      </c>
      <c r="I12" s="11">
        <v>-4.6800000000000001E-2</v>
      </c>
      <c r="J12" s="11">
        <v>-5.4999999999999997E-3</v>
      </c>
      <c r="K12" s="11">
        <v>-1.2200000000000001E-2</v>
      </c>
      <c r="L12" s="11">
        <v>-1.7100000000000001E-2</v>
      </c>
      <c r="M12" s="11">
        <v>-0.03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1">
        <v>-5.7999999999999996E-3</v>
      </c>
      <c r="C13" s="11">
        <v>-8.8000000000000005E-3</v>
      </c>
      <c r="D13" s="11">
        <v>-6.7999999999999996E-3</v>
      </c>
      <c r="E13" s="11">
        <v>-1.06E-2</v>
      </c>
      <c r="F13" s="11">
        <v>-8.2000000000000007E-3</v>
      </c>
      <c r="G13" s="11">
        <v>-1.04E-2</v>
      </c>
      <c r="H13" s="11">
        <v>-7.6E-3</v>
      </c>
      <c r="I13" s="11">
        <v>-8.3000000000000001E-3</v>
      </c>
      <c r="J13" s="11">
        <v>-6.1999999999999998E-3</v>
      </c>
      <c r="K13" s="11">
        <v>-1.3899999999999999E-2</v>
      </c>
      <c r="L13" s="11">
        <v>-6.4999999999999997E-3</v>
      </c>
      <c r="M13" s="11">
        <v>-9.7999999999999997E-3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5" t="s">
        <v>34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1" t="s">
        <v>6</v>
      </c>
      <c r="C16" s="11"/>
      <c r="D16" s="11" t="s">
        <v>7</v>
      </c>
      <c r="E16" s="11"/>
      <c r="F16" s="11" t="s">
        <v>8</v>
      </c>
      <c r="G16" s="11"/>
      <c r="H16" s="11" t="s">
        <v>9</v>
      </c>
      <c r="I16" s="11"/>
      <c r="J16" s="11" t="s">
        <v>10</v>
      </c>
      <c r="K16" s="11"/>
      <c r="L16" s="11" t="s">
        <v>11</v>
      </c>
      <c r="M16" s="1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 t="s">
        <v>24</v>
      </c>
      <c r="B17" s="11">
        <v>3.9300000000000002E-2</v>
      </c>
      <c r="C17" s="11">
        <v>3.0000000000000001E-3</v>
      </c>
      <c r="D17" s="11">
        <v>2.76E-2</v>
      </c>
      <c r="E17" s="11">
        <v>3.8199999999999998E-2</v>
      </c>
      <c r="F17" s="11">
        <v>3.2199999999999999E-2</v>
      </c>
      <c r="G17" s="11">
        <v>1.49E-2</v>
      </c>
      <c r="H17" s="11">
        <v>2.4199999999999999E-2</v>
      </c>
      <c r="I17" s="11">
        <v>3.5499999999999997E-2</v>
      </c>
      <c r="J17" s="11">
        <v>2.8000000000000001E-2</v>
      </c>
      <c r="K17" s="11">
        <v>1.01E-2</v>
      </c>
      <c r="L17" s="11">
        <v>6.25E-2</v>
      </c>
      <c r="M17" s="11">
        <v>3.15E-2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1">
        <v>-6.7999999999999996E-3</v>
      </c>
      <c r="C18" s="11">
        <v>-7.7000000000000002E-3</v>
      </c>
      <c r="D18" s="11">
        <v>-4.8999999999999998E-3</v>
      </c>
      <c r="E18" s="11">
        <v>-7.9000000000000008E-3</v>
      </c>
      <c r="F18" s="11">
        <v>-6.7999999999999996E-3</v>
      </c>
      <c r="G18" s="11">
        <v>-9.1999999999999998E-3</v>
      </c>
      <c r="H18" s="11">
        <v>-7.6E-3</v>
      </c>
      <c r="I18" s="11">
        <v>-8.3999999999999995E-3</v>
      </c>
      <c r="J18" s="11">
        <v>-6.0000000000000001E-3</v>
      </c>
      <c r="K18" s="11">
        <v>-1.1599999999999999E-2</v>
      </c>
      <c r="L18" s="11">
        <v>-5.7000000000000002E-3</v>
      </c>
      <c r="M18" s="11">
        <v>-7.4999999999999997E-3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 t="s">
        <v>25</v>
      </c>
      <c r="B19" s="11">
        <v>0.1265</v>
      </c>
      <c r="C19" s="11">
        <v>0.73950000000000005</v>
      </c>
      <c r="D19" s="11">
        <v>0.16589999999999999</v>
      </c>
      <c r="E19" s="11">
        <v>0.77449999999999997</v>
      </c>
      <c r="F19" s="11">
        <v>0.1236</v>
      </c>
      <c r="G19" s="11">
        <v>0.83489999999999998</v>
      </c>
      <c r="H19" s="11">
        <v>0.1072</v>
      </c>
      <c r="I19" s="11">
        <v>0.76270000000000004</v>
      </c>
      <c r="J19" s="11">
        <v>0.15179999999999999</v>
      </c>
      <c r="K19" s="11">
        <v>0.8256</v>
      </c>
      <c r="L19" s="11">
        <v>0.16700000000000001</v>
      </c>
      <c r="M19" s="11">
        <v>0.61760000000000004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1">
        <v>-3.5000000000000003E-2</v>
      </c>
      <c r="C20" s="11">
        <v>-8.2500000000000004E-2</v>
      </c>
      <c r="D20" s="11">
        <v>-2.5999999999999999E-2</v>
      </c>
      <c r="E20" s="11">
        <v>-6.5000000000000002E-2</v>
      </c>
      <c r="F20" s="11">
        <v>-4.1200000000000001E-2</v>
      </c>
      <c r="G20" s="11">
        <v>-8.0100000000000005E-2</v>
      </c>
      <c r="H20" s="11">
        <v>-3.7499999999999999E-2</v>
      </c>
      <c r="I20" s="11">
        <v>-7.1499999999999994E-2</v>
      </c>
      <c r="J20" s="11">
        <v>-3.49E-2</v>
      </c>
      <c r="K20" s="11">
        <v>-8.1500000000000003E-2</v>
      </c>
      <c r="L20" s="11">
        <v>-3.0200000000000001E-2</v>
      </c>
      <c r="M20" s="11">
        <v>-7.6399999999999996E-2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 t="s">
        <v>14</v>
      </c>
      <c r="B21" s="11">
        <v>2.0999999999999999E-3</v>
      </c>
      <c r="C21" s="11">
        <v>1.4999999999999999E-2</v>
      </c>
      <c r="D21" s="11">
        <v>3.8999999999999998E-3</v>
      </c>
      <c r="E21" s="11">
        <v>-3.7600000000000001E-2</v>
      </c>
      <c r="F21" s="11">
        <v>1.6000000000000001E-3</v>
      </c>
      <c r="G21" s="11">
        <v>-6.6E-3</v>
      </c>
      <c r="H21" s="11">
        <v>5.1999999999999998E-3</v>
      </c>
      <c r="I21" s="11">
        <v>-1.34E-2</v>
      </c>
      <c r="J21" s="11">
        <v>4.0000000000000002E-4</v>
      </c>
      <c r="K21" s="11">
        <v>9.2999999999999992E-3</v>
      </c>
      <c r="L21" s="11">
        <v>-6.7000000000000002E-3</v>
      </c>
      <c r="M21" s="11">
        <v>-6.7000000000000002E-3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1">
        <v>-7.0000000000000001E-3</v>
      </c>
      <c r="C22" s="11">
        <v>-8.3999999999999995E-3</v>
      </c>
      <c r="D22" s="11">
        <v>-5.7999999999999996E-3</v>
      </c>
      <c r="E22" s="11">
        <v>-7.9000000000000008E-3</v>
      </c>
      <c r="F22" s="11">
        <v>-7.9000000000000008E-3</v>
      </c>
      <c r="G22" s="11">
        <v>-1.01E-2</v>
      </c>
      <c r="H22" s="11">
        <v>-7.6E-3</v>
      </c>
      <c r="I22" s="11">
        <v>-9.9000000000000008E-3</v>
      </c>
      <c r="J22" s="11">
        <v>-7.1999999999999998E-3</v>
      </c>
      <c r="K22" s="11">
        <v>-9.5999999999999992E-3</v>
      </c>
      <c r="L22" s="11">
        <v>-6.7000000000000002E-3</v>
      </c>
      <c r="M22" s="11">
        <v>-9.5999999999999992E-3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 t="s">
        <v>26</v>
      </c>
      <c r="B23" s="11">
        <v>0.3367</v>
      </c>
      <c r="C23" s="11">
        <v>0.1658</v>
      </c>
      <c r="D23" s="11">
        <v>0.33439999999999998</v>
      </c>
      <c r="E23" s="11">
        <v>0.29830000000000001</v>
      </c>
      <c r="F23" s="11">
        <v>0.41239999999999999</v>
      </c>
      <c r="G23" s="11">
        <v>0.24099999999999999</v>
      </c>
      <c r="H23" s="11">
        <v>0.36909999999999998</v>
      </c>
      <c r="I23" s="11">
        <v>0.29320000000000002</v>
      </c>
      <c r="J23" s="11">
        <v>0.36130000000000001</v>
      </c>
      <c r="K23" s="11">
        <v>0.17299999999999999</v>
      </c>
      <c r="L23" s="11">
        <v>0.31509999999999999</v>
      </c>
      <c r="M23" s="11">
        <v>0.2878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1">
        <v>-2.41E-2</v>
      </c>
      <c r="C24" s="11">
        <v>-2.86E-2</v>
      </c>
      <c r="D24" s="11">
        <v>-1.4500000000000001E-2</v>
      </c>
      <c r="E24" s="11">
        <v>-2.75E-2</v>
      </c>
      <c r="F24" s="11">
        <v>-2.75E-2</v>
      </c>
      <c r="G24" s="11">
        <v>-3.0499999999999999E-2</v>
      </c>
      <c r="H24" s="11">
        <v>-2.4299999999999999E-2</v>
      </c>
      <c r="I24" s="11">
        <v>-2.6700000000000002E-2</v>
      </c>
      <c r="J24" s="11">
        <v>-2.07E-2</v>
      </c>
      <c r="K24" s="11">
        <v>-2.9000000000000001E-2</v>
      </c>
      <c r="L24" s="11">
        <v>-1.9599999999999999E-2</v>
      </c>
      <c r="M24" s="11">
        <v>-3.7600000000000001E-2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 t="s">
        <v>27</v>
      </c>
      <c r="B25" s="11">
        <v>-1.3599999999999999E-2</v>
      </c>
      <c r="C25" s="11">
        <v>-6.6600000000000006E-2</v>
      </c>
      <c r="D25" s="11">
        <v>-6.6E-3</v>
      </c>
      <c r="E25" s="11">
        <v>-4.7500000000000001E-2</v>
      </c>
      <c r="F25" s="11">
        <v>-6.1000000000000004E-3</v>
      </c>
      <c r="G25" s="11">
        <v>-3.4299999999999997E-2</v>
      </c>
      <c r="H25" s="11">
        <v>-5.8999999999999999E-3</v>
      </c>
      <c r="I25" s="11">
        <v>-5.1400000000000001E-2</v>
      </c>
      <c r="J25" s="11">
        <v>-1.29E-2</v>
      </c>
      <c r="K25" s="11">
        <v>-5.1400000000000001E-2</v>
      </c>
      <c r="L25" s="11">
        <v>-1.6E-2</v>
      </c>
      <c r="M25" s="11">
        <v>-6.8999999999999999E-3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1">
        <v>-8.3000000000000001E-3</v>
      </c>
      <c r="C26" s="11">
        <v>-1.0699999999999999E-2</v>
      </c>
      <c r="D26" s="11">
        <v>-7.6E-3</v>
      </c>
      <c r="E26" s="11">
        <v>-9.9000000000000008E-3</v>
      </c>
      <c r="F26" s="11">
        <v>-8.9999999999999993E-3</v>
      </c>
      <c r="G26" s="11">
        <v>-1.17E-2</v>
      </c>
      <c r="H26" s="11">
        <v>-8.3999999999999995E-3</v>
      </c>
      <c r="I26" s="11">
        <v>-1.23E-2</v>
      </c>
      <c r="J26" s="11">
        <v>-8.0999999999999996E-3</v>
      </c>
      <c r="K26" s="11">
        <v>-1.44E-2</v>
      </c>
      <c r="L26" s="11">
        <v>-7.7999999999999996E-3</v>
      </c>
      <c r="M26" s="11">
        <v>-1.2E-2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5" t="s">
        <v>35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1" t="s">
        <v>6</v>
      </c>
      <c r="C29" s="11"/>
      <c r="D29" s="11" t="s">
        <v>7</v>
      </c>
      <c r="E29" s="11"/>
      <c r="F29" s="11" t="s">
        <v>8</v>
      </c>
      <c r="G29" s="11"/>
      <c r="H29" s="11" t="s">
        <v>9</v>
      </c>
      <c r="I29" s="11"/>
      <c r="J29" s="11" t="s">
        <v>10</v>
      </c>
      <c r="K29" s="11"/>
      <c r="L29" s="11" t="s">
        <v>11</v>
      </c>
      <c r="M29" s="1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 t="s">
        <v>24</v>
      </c>
      <c r="B30" s="11">
        <v>4.19E-2</v>
      </c>
      <c r="C30" s="11">
        <v>-2.9600000000000001E-2</v>
      </c>
      <c r="D30" s="11">
        <v>2.1000000000000001E-2</v>
      </c>
      <c r="E30" s="11">
        <v>-2.7900000000000001E-2</v>
      </c>
      <c r="F30" s="11">
        <v>4.0500000000000001E-2</v>
      </c>
      <c r="G30" s="11">
        <v>1.0200000000000001E-2</v>
      </c>
      <c r="H30" s="11">
        <v>2.5999999999999999E-2</v>
      </c>
      <c r="I30" s="11">
        <v>-7.7000000000000002E-3</v>
      </c>
      <c r="J30" s="11">
        <v>2.6200000000000001E-2</v>
      </c>
      <c r="K30" s="11">
        <v>-1.17E-2</v>
      </c>
      <c r="L30" s="11">
        <v>3.95E-2</v>
      </c>
      <c r="M30" s="11">
        <v>8.8000000000000005E-3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1">
        <v>-5.7999999999999996E-3</v>
      </c>
      <c r="C31" s="11">
        <v>-8.3999999999999995E-3</v>
      </c>
      <c r="D31" s="11">
        <v>-3.8E-3</v>
      </c>
      <c r="E31" s="11">
        <v>-6.0000000000000001E-3</v>
      </c>
      <c r="F31" s="11">
        <v>-7.7999999999999996E-3</v>
      </c>
      <c r="G31" s="11">
        <v>-9.7999999999999997E-3</v>
      </c>
      <c r="H31" s="11">
        <v>-7.4000000000000003E-3</v>
      </c>
      <c r="I31" s="11">
        <v>-7.3000000000000001E-3</v>
      </c>
      <c r="J31" s="11">
        <v>-5.4999999999999997E-3</v>
      </c>
      <c r="K31" s="11">
        <v>-0.01</v>
      </c>
      <c r="L31" s="11">
        <v>-5.7999999999999996E-3</v>
      </c>
      <c r="M31" s="11">
        <v>-1.18E-2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 t="s">
        <v>25</v>
      </c>
      <c r="B32" s="11">
        <v>0.1221</v>
      </c>
      <c r="C32" s="11">
        <v>0.51419999999999999</v>
      </c>
      <c r="D32" s="11">
        <v>0.1401</v>
      </c>
      <c r="E32" s="11">
        <v>0.54190000000000005</v>
      </c>
      <c r="F32" s="11">
        <v>8.7599999999999997E-2</v>
      </c>
      <c r="G32" s="11">
        <v>0.57489999999999997</v>
      </c>
      <c r="H32" s="11">
        <v>6.4899999999999999E-2</v>
      </c>
      <c r="I32" s="11">
        <v>0.40589999999999998</v>
      </c>
      <c r="J32" s="11">
        <v>0.13139999999999999</v>
      </c>
      <c r="K32" s="11">
        <v>0.62649999999999995</v>
      </c>
      <c r="L32" s="11">
        <v>0.1794</v>
      </c>
      <c r="M32" s="11">
        <v>0.37390000000000001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1">
        <v>-3.3099999999999997E-2</v>
      </c>
      <c r="C33" s="11">
        <v>-8.3199999999999996E-2</v>
      </c>
      <c r="D33" s="11">
        <v>-2.3900000000000001E-2</v>
      </c>
      <c r="E33" s="11">
        <v>-6.93E-2</v>
      </c>
      <c r="F33" s="11">
        <v>-3.6900000000000002E-2</v>
      </c>
      <c r="G33" s="11">
        <v>-7.3800000000000004E-2</v>
      </c>
      <c r="H33" s="11">
        <v>-2.75E-2</v>
      </c>
      <c r="I33" s="11">
        <v>-5.8299999999999998E-2</v>
      </c>
      <c r="J33" s="11">
        <v>-2.8000000000000001E-2</v>
      </c>
      <c r="K33" s="11">
        <v>-8.2500000000000004E-2</v>
      </c>
      <c r="L33" s="11">
        <v>-2.8299999999999999E-2</v>
      </c>
      <c r="M33" s="11">
        <v>-6.1800000000000001E-2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 t="s">
        <v>14</v>
      </c>
      <c r="B34" s="11">
        <v>0</v>
      </c>
      <c r="C34" s="11">
        <v>1.21E-2</v>
      </c>
      <c r="D34" s="11">
        <v>4.3E-3</v>
      </c>
      <c r="E34" s="11">
        <v>-4.8999999999999998E-3</v>
      </c>
      <c r="F34" s="11">
        <v>2.5999999999999999E-3</v>
      </c>
      <c r="G34" s="11">
        <v>-8.5000000000000006E-3</v>
      </c>
      <c r="H34" s="11">
        <v>5.5999999999999999E-3</v>
      </c>
      <c r="I34" s="11">
        <v>-1.6999999999999999E-3</v>
      </c>
      <c r="J34" s="11">
        <v>-4.7999999999999996E-3</v>
      </c>
      <c r="K34" s="11">
        <v>-1.2500000000000001E-2</v>
      </c>
      <c r="L34" s="11">
        <v>-1.32E-2</v>
      </c>
      <c r="M34" s="11">
        <v>2.4199999999999999E-2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1">
        <v>-6.4000000000000003E-3</v>
      </c>
      <c r="C35" s="11">
        <v>-9.7000000000000003E-3</v>
      </c>
      <c r="D35" s="11">
        <v>-5.5999999999999999E-3</v>
      </c>
      <c r="E35" s="11">
        <v>-7.1999999999999998E-3</v>
      </c>
      <c r="F35" s="11">
        <v>-7.1999999999999998E-3</v>
      </c>
      <c r="G35" s="11">
        <v>-8.8999999999999999E-3</v>
      </c>
      <c r="H35" s="11">
        <v>-6.4999999999999997E-3</v>
      </c>
      <c r="I35" s="11">
        <v>-7.7000000000000002E-3</v>
      </c>
      <c r="J35" s="11">
        <v>-6.6E-3</v>
      </c>
      <c r="K35" s="11">
        <v>-8.9999999999999993E-3</v>
      </c>
      <c r="L35" s="11">
        <v>-6.1999999999999998E-3</v>
      </c>
      <c r="M35" s="11">
        <v>-9.4999999999999998E-3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 t="s">
        <v>26</v>
      </c>
      <c r="B36" s="11">
        <v>0.2868</v>
      </c>
      <c r="C36" s="11">
        <v>0.10440000000000001</v>
      </c>
      <c r="D36" s="11">
        <v>0.31580000000000003</v>
      </c>
      <c r="E36" s="11">
        <v>0.1497</v>
      </c>
      <c r="F36" s="11">
        <v>0.39629999999999999</v>
      </c>
      <c r="G36" s="11">
        <v>0.13830000000000001</v>
      </c>
      <c r="H36" s="11">
        <v>0.33019999999999999</v>
      </c>
      <c r="I36" s="11">
        <v>0.20760000000000001</v>
      </c>
      <c r="J36" s="11">
        <v>0.34539999999999998</v>
      </c>
      <c r="K36" s="11">
        <v>0.2316</v>
      </c>
      <c r="L36" s="11">
        <v>0.31909999999999999</v>
      </c>
      <c r="M36" s="11">
        <v>0.35599999999999998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1">
        <v>-2.5700000000000001E-2</v>
      </c>
      <c r="C37" s="11">
        <v>-3.5000000000000003E-2</v>
      </c>
      <c r="D37" s="11">
        <v>-1.44E-2</v>
      </c>
      <c r="E37" s="11">
        <v>-3.1800000000000002E-2</v>
      </c>
      <c r="F37" s="11">
        <v>-2.7400000000000001E-2</v>
      </c>
      <c r="G37" s="11">
        <v>-3.4099999999999998E-2</v>
      </c>
      <c r="H37" s="11">
        <v>-2.1600000000000001E-2</v>
      </c>
      <c r="I37" s="11">
        <v>-2.92E-2</v>
      </c>
      <c r="J37" s="11">
        <v>-1.8599999999999998E-2</v>
      </c>
      <c r="K37" s="11">
        <v>-3.6400000000000002E-2</v>
      </c>
      <c r="L37" s="11">
        <v>-1.9099999999999999E-2</v>
      </c>
      <c r="M37" s="11">
        <v>-3.3799999999999997E-2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 t="s">
        <v>27</v>
      </c>
      <c r="B38" s="11">
        <v>-1.44E-2</v>
      </c>
      <c r="C38" s="11">
        <v>-3.8199999999999998E-2</v>
      </c>
      <c r="D38" s="11">
        <v>-1.0200000000000001E-2</v>
      </c>
      <c r="E38" s="11">
        <v>-1.6E-2</v>
      </c>
      <c r="F38" s="11">
        <v>-7.4000000000000003E-3</v>
      </c>
      <c r="G38" s="11">
        <v>-2.8400000000000002E-2</v>
      </c>
      <c r="H38" s="11">
        <v>-1.1299999999999999E-2</v>
      </c>
      <c r="I38" s="11">
        <v>-4.3999999999999997E-2</v>
      </c>
      <c r="J38" s="11">
        <v>-1.52E-2</v>
      </c>
      <c r="K38" s="11">
        <v>-1.03E-2</v>
      </c>
      <c r="L38" s="11">
        <v>-7.3000000000000001E-3</v>
      </c>
      <c r="M38" s="11">
        <v>-0.03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1">
        <v>-8.0999999999999996E-3</v>
      </c>
      <c r="C39" s="11">
        <v>-1.32E-2</v>
      </c>
      <c r="D39" s="11">
        <v>-7.3000000000000001E-3</v>
      </c>
      <c r="E39" s="11">
        <v>-9.2999999999999992E-3</v>
      </c>
      <c r="F39" s="11">
        <v>-9.4999999999999998E-3</v>
      </c>
      <c r="G39" s="11">
        <v>-1.34E-2</v>
      </c>
      <c r="H39" s="11">
        <v>-7.7999999999999996E-3</v>
      </c>
      <c r="I39" s="11">
        <v>-1.1900000000000001E-2</v>
      </c>
      <c r="J39" s="11">
        <v>-8.0000000000000002E-3</v>
      </c>
      <c r="K39" s="11">
        <v>-1.5299999999999999E-2</v>
      </c>
      <c r="L39" s="11">
        <v>-8.3999999999999995E-3</v>
      </c>
      <c r="M39" s="11">
        <v>-1.0999999999999999E-2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5" t="s">
        <v>36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1" t="s">
        <v>6</v>
      </c>
      <c r="C42" s="11"/>
      <c r="D42" s="11" t="s">
        <v>7</v>
      </c>
      <c r="E42" s="11"/>
      <c r="F42" s="11" t="s">
        <v>8</v>
      </c>
      <c r="G42" s="11"/>
      <c r="H42" s="11" t="s">
        <v>9</v>
      </c>
      <c r="I42" s="11"/>
      <c r="J42" s="11" t="s">
        <v>10</v>
      </c>
      <c r="K42" s="11"/>
      <c r="L42" s="11" t="s">
        <v>11</v>
      </c>
      <c r="M42" s="1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 t="s">
        <v>24</v>
      </c>
      <c r="B43" s="11">
        <v>3.4299999999999997E-2</v>
      </c>
      <c r="C43" s="11">
        <v>1.78E-2</v>
      </c>
      <c r="D43" s="11">
        <v>3.3000000000000002E-2</v>
      </c>
      <c r="E43" s="11">
        <v>-8.3999999999999995E-3</v>
      </c>
      <c r="F43" s="11">
        <v>4.6300000000000001E-2</v>
      </c>
      <c r="G43" s="11">
        <v>7.0499999999999993E-2</v>
      </c>
      <c r="H43" s="11">
        <v>3.9300000000000002E-2</v>
      </c>
      <c r="I43" s="11">
        <v>5.7000000000000002E-3</v>
      </c>
      <c r="J43" s="11">
        <v>4.48E-2</v>
      </c>
      <c r="K43" s="11">
        <v>4.3200000000000002E-2</v>
      </c>
      <c r="L43" s="11">
        <v>6.08E-2</v>
      </c>
      <c r="M43" s="11">
        <v>9.9000000000000008E-3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1">
        <v>-8.6999999999999994E-3</v>
      </c>
      <c r="C44" s="11">
        <v>-8.5000000000000006E-3</v>
      </c>
      <c r="D44" s="11">
        <v>-4.5999999999999999E-3</v>
      </c>
      <c r="E44" s="11">
        <v>-8.0000000000000002E-3</v>
      </c>
      <c r="F44" s="11">
        <v>-8.9999999999999993E-3</v>
      </c>
      <c r="G44" s="11">
        <v>-1.0699999999999999E-2</v>
      </c>
      <c r="H44" s="11">
        <v>-1.0999999999999999E-2</v>
      </c>
      <c r="I44" s="11">
        <v>-6.7000000000000002E-3</v>
      </c>
      <c r="J44" s="11">
        <v>-7.1999999999999998E-3</v>
      </c>
      <c r="K44" s="11">
        <v>-9.9000000000000008E-3</v>
      </c>
      <c r="L44" s="11">
        <v>-7.4000000000000003E-3</v>
      </c>
      <c r="M44" s="11">
        <v>-1.1599999999999999E-2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 t="s">
        <v>25</v>
      </c>
      <c r="B45" s="11">
        <v>0.1051</v>
      </c>
      <c r="C45" s="11">
        <v>0.30159999999999998</v>
      </c>
      <c r="D45" s="11">
        <v>0.1772</v>
      </c>
      <c r="E45" s="11">
        <v>0.3387</v>
      </c>
      <c r="F45" s="11">
        <v>0.1532</v>
      </c>
      <c r="G45" s="11">
        <v>0.2626</v>
      </c>
      <c r="H45" s="11">
        <v>7.4899999999999994E-2</v>
      </c>
      <c r="I45" s="11">
        <v>0.23480000000000001</v>
      </c>
      <c r="J45" s="11">
        <v>0.23569999999999999</v>
      </c>
      <c r="K45" s="11">
        <v>0.37719999999999998</v>
      </c>
      <c r="L45" s="11">
        <v>0.1555</v>
      </c>
      <c r="M45" s="11">
        <v>0.29809999999999998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1">
        <v>-4.6399999999999997E-2</v>
      </c>
      <c r="C46" s="11">
        <v>-5.45E-2</v>
      </c>
      <c r="D46" s="11">
        <v>-3.6600000000000001E-2</v>
      </c>
      <c r="E46" s="11">
        <v>-4.58E-2</v>
      </c>
      <c r="F46" s="11">
        <v>-5.74E-2</v>
      </c>
      <c r="G46" s="11">
        <v>-4.8899999999999999E-2</v>
      </c>
      <c r="H46" s="11">
        <v>-5.2600000000000001E-2</v>
      </c>
      <c r="I46" s="11">
        <v>-4.1500000000000002E-2</v>
      </c>
      <c r="J46" s="11">
        <v>-5.6000000000000001E-2</v>
      </c>
      <c r="K46" s="11">
        <v>-5.04E-2</v>
      </c>
      <c r="L46" s="11">
        <v>-4.2900000000000001E-2</v>
      </c>
      <c r="M46" s="11">
        <v>-5.5899999999999998E-2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 t="s">
        <v>14</v>
      </c>
      <c r="B47" s="11">
        <v>6.4999999999999997E-3</v>
      </c>
      <c r="C47" s="11">
        <v>-1.0999999999999999E-2</v>
      </c>
      <c r="D47" s="11">
        <v>0</v>
      </c>
      <c r="E47" s="11">
        <v>1.8E-3</v>
      </c>
      <c r="F47" s="11">
        <v>-4.1000000000000003E-3</v>
      </c>
      <c r="G47" s="11">
        <v>2.0000000000000001E-4</v>
      </c>
      <c r="H47" s="11">
        <v>8.0000000000000002E-3</v>
      </c>
      <c r="I47" s="11">
        <v>5.9999999999999995E-4</v>
      </c>
      <c r="J47" s="11">
        <v>-1.1000000000000001E-3</v>
      </c>
      <c r="K47" s="11">
        <v>-8.9999999999999993E-3</v>
      </c>
      <c r="L47" s="11">
        <v>-1E-4</v>
      </c>
      <c r="M47" s="11">
        <v>1.38E-2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1">
        <v>-7.3000000000000001E-3</v>
      </c>
      <c r="C48" s="11">
        <v>-1.01E-2</v>
      </c>
      <c r="D48" s="11">
        <v>-7.1000000000000004E-3</v>
      </c>
      <c r="E48" s="11">
        <v>-9.4000000000000004E-3</v>
      </c>
      <c r="F48" s="11">
        <v>-9.2999999999999992E-3</v>
      </c>
      <c r="G48" s="11">
        <v>-8.3000000000000001E-3</v>
      </c>
      <c r="H48" s="11">
        <v>-9.5999999999999992E-3</v>
      </c>
      <c r="I48" s="11">
        <v>-8.6E-3</v>
      </c>
      <c r="J48" s="11">
        <v>-9.2999999999999992E-3</v>
      </c>
      <c r="K48" s="11">
        <v>-7.9000000000000008E-3</v>
      </c>
      <c r="L48" s="11">
        <v>-8.6E-3</v>
      </c>
      <c r="M48" s="11">
        <v>-6.4000000000000003E-3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 t="s">
        <v>26</v>
      </c>
      <c r="B49" s="11">
        <v>0.3488</v>
      </c>
      <c r="C49" s="11">
        <v>0.24890000000000001</v>
      </c>
      <c r="D49" s="11">
        <v>0.3422</v>
      </c>
      <c r="E49" s="11">
        <v>0.19939999999999999</v>
      </c>
      <c r="F49" s="11">
        <v>0.4763</v>
      </c>
      <c r="G49" s="11">
        <v>0.20100000000000001</v>
      </c>
      <c r="H49" s="11">
        <v>0.38009999999999999</v>
      </c>
      <c r="I49" s="11">
        <v>0.33939999999999998</v>
      </c>
      <c r="J49" s="11">
        <v>0.4501</v>
      </c>
      <c r="K49" s="11">
        <v>0.22189999999999999</v>
      </c>
      <c r="L49" s="11">
        <v>0.3261</v>
      </c>
      <c r="M49" s="11">
        <v>0.36549999999999999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1">
        <v>-2.5499999999999998E-2</v>
      </c>
      <c r="C50" s="11">
        <v>-3.3300000000000003E-2</v>
      </c>
      <c r="D50" s="11">
        <v>-1.7299999999999999E-2</v>
      </c>
      <c r="E50" s="11">
        <v>-3.0499999999999999E-2</v>
      </c>
      <c r="F50" s="11">
        <v>-3.1399999999999997E-2</v>
      </c>
      <c r="G50" s="11">
        <v>-3.4000000000000002E-2</v>
      </c>
      <c r="H50" s="11">
        <v>-2.8899999999999999E-2</v>
      </c>
      <c r="I50" s="11">
        <v>-2.9600000000000001E-2</v>
      </c>
      <c r="J50" s="11">
        <v>-3.0499999999999999E-2</v>
      </c>
      <c r="K50" s="11">
        <v>-3.2800000000000003E-2</v>
      </c>
      <c r="L50" s="11">
        <v>-2.0400000000000001E-2</v>
      </c>
      <c r="M50" s="11">
        <v>-3.4099999999999998E-2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 t="s">
        <v>27</v>
      </c>
      <c r="B51" s="11">
        <v>-9.1999999999999998E-3</v>
      </c>
      <c r="C51" s="11">
        <v>-3.6200000000000003E-2</v>
      </c>
      <c r="D51" s="11">
        <v>-6.6E-3</v>
      </c>
      <c r="E51" s="11">
        <v>-2.5000000000000001E-2</v>
      </c>
      <c r="F51" s="11">
        <v>-2.5999999999999999E-3</v>
      </c>
      <c r="G51" s="11">
        <v>-1.11E-2</v>
      </c>
      <c r="H51" s="11">
        <v>5.0000000000000001E-4</v>
      </c>
      <c r="I51" s="11">
        <v>-1.5100000000000001E-2</v>
      </c>
      <c r="J51" s="11">
        <v>1E-3</v>
      </c>
      <c r="K51" s="11">
        <v>-1.8100000000000002E-2</v>
      </c>
      <c r="L51" s="11">
        <v>1.2999999999999999E-3</v>
      </c>
      <c r="M51" s="11">
        <v>1.06E-2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1">
        <v>-8.3000000000000001E-3</v>
      </c>
      <c r="C52" s="11">
        <v>-1.21E-2</v>
      </c>
      <c r="D52" s="11">
        <v>-7.7999999999999996E-3</v>
      </c>
      <c r="E52" s="11">
        <v>-1.2E-2</v>
      </c>
      <c r="F52" s="11">
        <v>-1.0500000000000001E-2</v>
      </c>
      <c r="G52" s="11">
        <v>-1.18E-2</v>
      </c>
      <c r="H52" s="11">
        <v>-9.2999999999999992E-3</v>
      </c>
      <c r="I52" s="11">
        <v>-1.12E-2</v>
      </c>
      <c r="J52" s="11">
        <v>-1.0999999999999999E-2</v>
      </c>
      <c r="K52" s="11">
        <v>-1.34E-2</v>
      </c>
      <c r="L52" s="11">
        <v>-1.0500000000000001E-2</v>
      </c>
      <c r="M52" s="11">
        <v>-8.6999999999999994E-3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5" t="s">
        <v>37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1" t="s">
        <v>6</v>
      </c>
      <c r="C55" s="11"/>
      <c r="D55" s="11" t="s">
        <v>7</v>
      </c>
      <c r="E55" s="11"/>
      <c r="F55" s="11" t="s">
        <v>8</v>
      </c>
      <c r="G55" s="11"/>
      <c r="H55" s="11" t="s">
        <v>9</v>
      </c>
      <c r="I55" s="11"/>
      <c r="J55" s="11" t="s">
        <v>10</v>
      </c>
      <c r="K55" s="11"/>
      <c r="L55" s="11" t="s">
        <v>11</v>
      </c>
      <c r="M55" s="1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 t="s">
        <v>29</v>
      </c>
      <c r="B56" s="11">
        <v>5.21E-2</v>
      </c>
      <c r="C56" s="11">
        <v>-1.24E-2</v>
      </c>
      <c r="D56" s="11">
        <v>4.6399999999999997E-2</v>
      </c>
      <c r="E56" s="11">
        <v>-1.4999999999999999E-2</v>
      </c>
      <c r="F56" s="11">
        <v>4.7199999999999999E-2</v>
      </c>
      <c r="G56" s="11">
        <v>4.1000000000000003E-3</v>
      </c>
      <c r="H56" s="11">
        <v>4.7800000000000002E-2</v>
      </c>
      <c r="I56" s="11">
        <v>3.3E-3</v>
      </c>
      <c r="J56" s="11">
        <v>4.99E-2</v>
      </c>
      <c r="K56" s="11">
        <v>-3.2399999999999998E-2</v>
      </c>
      <c r="L56" s="11">
        <v>5.6099999999999997E-2</v>
      </c>
      <c r="M56" s="11">
        <v>-6.6900000000000001E-2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1">
        <v>-4.4999999999999997E-3</v>
      </c>
      <c r="C57" s="11">
        <v>-8.8999999999999999E-3</v>
      </c>
      <c r="D57" s="11">
        <v>-5.0000000000000001E-3</v>
      </c>
      <c r="E57" s="11">
        <v>-6.8999999999999999E-3</v>
      </c>
      <c r="F57" s="11">
        <v>-6.8999999999999999E-3</v>
      </c>
      <c r="G57" s="11">
        <v>-1.0500000000000001E-2</v>
      </c>
      <c r="H57" s="11">
        <v>-7.4999999999999997E-3</v>
      </c>
      <c r="I57" s="11">
        <v>-9.1000000000000004E-3</v>
      </c>
      <c r="J57" s="11">
        <v>-4.5999999999999999E-3</v>
      </c>
      <c r="K57" s="11">
        <v>-1.09E-2</v>
      </c>
      <c r="L57" s="11">
        <v>-4.5999999999999999E-3</v>
      </c>
      <c r="M57" s="11">
        <v>-1.52E-2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 t="s">
        <v>25</v>
      </c>
      <c r="B58" s="11">
        <v>9.1399999999999995E-2</v>
      </c>
      <c r="C58" s="11">
        <v>1.2200000000000001E-2</v>
      </c>
      <c r="D58" s="11">
        <v>0.1454</v>
      </c>
      <c r="E58" s="11">
        <v>0.1333</v>
      </c>
      <c r="F58" s="11">
        <v>9.0499999999999997E-2</v>
      </c>
      <c r="G58" s="11">
        <v>0.2044</v>
      </c>
      <c r="H58" s="11">
        <v>9.6600000000000005E-2</v>
      </c>
      <c r="I58" s="11">
        <v>6.6400000000000001E-2</v>
      </c>
      <c r="J58" s="11">
        <v>0.1288</v>
      </c>
      <c r="K58" s="11">
        <v>9.2200000000000004E-2</v>
      </c>
      <c r="L58" s="11">
        <v>0.1143</v>
      </c>
      <c r="M58" s="11">
        <v>0.25800000000000001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1">
        <v>-3.27E-2</v>
      </c>
      <c r="C59" s="11">
        <v>-8.3000000000000004E-2</v>
      </c>
      <c r="D59" s="11">
        <v>-3.2500000000000001E-2</v>
      </c>
      <c r="E59" s="11">
        <v>-6.8000000000000005E-2</v>
      </c>
      <c r="F59" s="11">
        <v>-4.2700000000000002E-2</v>
      </c>
      <c r="G59" s="11">
        <v>-8.9399999999999993E-2</v>
      </c>
      <c r="H59" s="11">
        <v>-3.7900000000000003E-2</v>
      </c>
      <c r="I59" s="11">
        <v>-5.5800000000000002E-2</v>
      </c>
      <c r="J59" s="11">
        <v>-3.0200000000000001E-2</v>
      </c>
      <c r="K59" s="11">
        <v>-9.3899999999999997E-2</v>
      </c>
      <c r="L59" s="11">
        <v>-2.9000000000000001E-2</v>
      </c>
      <c r="M59" s="11">
        <v>-8.2900000000000001E-2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 t="s">
        <v>30</v>
      </c>
      <c r="B60" s="11">
        <v>7.4999999999999997E-3</v>
      </c>
      <c r="C60" s="11">
        <v>3.1E-2</v>
      </c>
      <c r="D60" s="11">
        <v>3.3E-3</v>
      </c>
      <c r="E60" s="11">
        <v>-7.4000000000000003E-3</v>
      </c>
      <c r="F60" s="11">
        <v>1.8200000000000001E-2</v>
      </c>
      <c r="G60" s="11">
        <v>9.4999999999999998E-3</v>
      </c>
      <c r="H60" s="11">
        <v>1.7000000000000001E-2</v>
      </c>
      <c r="I60" s="11">
        <v>1.29E-2</v>
      </c>
      <c r="J60" s="11">
        <v>2.5000000000000001E-3</v>
      </c>
      <c r="K60" s="11">
        <v>3.2099999999999997E-2</v>
      </c>
      <c r="L60" s="11">
        <v>1.29E-2</v>
      </c>
      <c r="M60" s="11">
        <v>1.0800000000000001E-2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1">
        <v>-5.4999999999999997E-3</v>
      </c>
      <c r="C61" s="11">
        <v>-1.4500000000000001E-2</v>
      </c>
      <c r="D61" s="11">
        <v>-6.0000000000000001E-3</v>
      </c>
      <c r="E61" s="11">
        <v>-1.06E-2</v>
      </c>
      <c r="F61" s="11">
        <v>-7.1000000000000004E-3</v>
      </c>
      <c r="G61" s="11">
        <v>-1.2200000000000001E-2</v>
      </c>
      <c r="H61" s="11">
        <v>-6.6E-3</v>
      </c>
      <c r="I61" s="11">
        <v>-1.0699999999999999E-2</v>
      </c>
      <c r="J61" s="11">
        <v>-5.7999999999999996E-3</v>
      </c>
      <c r="K61" s="11">
        <v>-1.17E-2</v>
      </c>
      <c r="L61" s="11">
        <v>-5.8999999999999999E-3</v>
      </c>
      <c r="M61" s="11">
        <v>-8.0000000000000002E-3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 t="s">
        <v>31</v>
      </c>
      <c r="B62" s="11">
        <v>0.2671</v>
      </c>
      <c r="C62" s="11">
        <v>0.19089999999999999</v>
      </c>
      <c r="D62" s="11">
        <v>0.2969</v>
      </c>
      <c r="E62" s="11">
        <v>0.31969999999999998</v>
      </c>
      <c r="F62" s="11">
        <v>0.31390000000000001</v>
      </c>
      <c r="G62" s="11">
        <v>0.25459999999999999</v>
      </c>
      <c r="H62" s="11">
        <v>0.25979999999999998</v>
      </c>
      <c r="I62" s="11">
        <v>0.22040000000000001</v>
      </c>
      <c r="J62" s="11">
        <v>0.308</v>
      </c>
      <c r="K62" s="11">
        <v>0.30180000000000001</v>
      </c>
      <c r="L62" s="11">
        <v>0.27679999999999999</v>
      </c>
      <c r="M62" s="11">
        <v>0.36930000000000002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1">
        <v>-2.2599999999999999E-2</v>
      </c>
      <c r="C63" s="11">
        <v>-4.0500000000000001E-2</v>
      </c>
      <c r="D63" s="11">
        <v>-1.8100000000000002E-2</v>
      </c>
      <c r="E63" s="11">
        <v>-2.9000000000000001E-2</v>
      </c>
      <c r="F63" s="11">
        <v>-2.69E-2</v>
      </c>
      <c r="G63" s="11">
        <v>-3.4200000000000001E-2</v>
      </c>
      <c r="H63" s="11">
        <v>-2.2100000000000002E-2</v>
      </c>
      <c r="I63" s="11">
        <v>-2.7400000000000001E-2</v>
      </c>
      <c r="J63" s="11">
        <v>-0.02</v>
      </c>
      <c r="K63" s="11">
        <v>-3.78E-2</v>
      </c>
      <c r="L63" s="11">
        <v>-1.5900000000000001E-2</v>
      </c>
      <c r="M63" s="11">
        <v>-3.5700000000000003E-2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 t="s">
        <v>32</v>
      </c>
      <c r="B64" s="11">
        <v>-8.0000000000000002E-3</v>
      </c>
      <c r="C64" s="11">
        <v>-2.3800000000000002E-2</v>
      </c>
      <c r="D64" s="11">
        <v>-6.7999999999999996E-3</v>
      </c>
      <c r="E64" s="11">
        <v>-6.0000000000000001E-3</v>
      </c>
      <c r="F64" s="11">
        <v>-4.1999999999999997E-3</v>
      </c>
      <c r="G64" s="11">
        <v>1.1000000000000001E-3</v>
      </c>
      <c r="H64" s="11">
        <v>-1.8E-3</v>
      </c>
      <c r="I64" s="11">
        <v>-2.8299999999999999E-2</v>
      </c>
      <c r="J64" s="11">
        <v>-7.3000000000000001E-3</v>
      </c>
      <c r="K64" s="11">
        <v>-2.2700000000000001E-2</v>
      </c>
      <c r="L64" s="11">
        <v>-1.0200000000000001E-2</v>
      </c>
      <c r="M64" s="11">
        <v>-8.3999999999999995E-3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1">
        <v>-6.8999999999999999E-3</v>
      </c>
      <c r="C65" s="11">
        <v>-1.6E-2</v>
      </c>
      <c r="D65" s="11">
        <v>-7.1999999999999998E-3</v>
      </c>
      <c r="E65" s="11">
        <v>-9.7000000000000003E-3</v>
      </c>
      <c r="F65" s="11">
        <v>-8.3000000000000001E-3</v>
      </c>
      <c r="G65" s="11">
        <v>-1.6400000000000001E-2</v>
      </c>
      <c r="H65" s="11">
        <v>-7.4999999999999997E-3</v>
      </c>
      <c r="I65" s="11">
        <v>-1.0699999999999999E-2</v>
      </c>
      <c r="J65" s="11">
        <v>-6.8999999999999999E-3</v>
      </c>
      <c r="K65" s="11">
        <v>-1.6E-2</v>
      </c>
      <c r="L65" s="11">
        <v>-6.4000000000000003E-3</v>
      </c>
      <c r="M65" s="11">
        <v>-1.12E-2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M2"/>
    <mergeCell ref="B15:M15"/>
    <mergeCell ref="B28:M28"/>
    <mergeCell ref="B41:M41"/>
    <mergeCell ref="B54:M54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selection activeCell="C4" sqref="C4"/>
    </sheetView>
  </sheetViews>
  <sheetFormatPr defaultColWidth="14.42578125" defaultRowHeight="15" customHeight="1" x14ac:dyDescent="0.25"/>
  <cols>
    <col min="1" max="1" width="21" customWidth="1"/>
    <col min="2" max="11" width="10.28515625" customWidth="1"/>
    <col min="12" max="12" width="9.5703125" customWidth="1"/>
    <col min="13" max="13" width="10.28515625" customWidth="1"/>
    <col min="14" max="26" width="8.7109375" customWidth="1"/>
  </cols>
  <sheetData>
    <row r="1" spans="1:26" ht="10.5" customHeight="1" x14ac:dyDescent="0.25">
      <c r="A1" s="1"/>
      <c r="B1" s="11" t="s">
        <v>28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0.5" customHeight="1" x14ac:dyDescent="0.25">
      <c r="A2" s="1"/>
      <c r="B2" s="15" t="s">
        <v>33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0.5" customHeight="1" x14ac:dyDescent="0.25">
      <c r="A3" s="1"/>
      <c r="B3" s="11" t="s">
        <v>6</v>
      </c>
      <c r="C3" s="11"/>
      <c r="D3" s="11" t="s">
        <v>7</v>
      </c>
      <c r="E3" s="11"/>
      <c r="F3" s="11" t="s">
        <v>8</v>
      </c>
      <c r="G3" s="11"/>
      <c r="H3" s="11" t="s">
        <v>9</v>
      </c>
      <c r="I3" s="11"/>
      <c r="J3" s="11" t="s">
        <v>10</v>
      </c>
      <c r="K3" s="11"/>
      <c r="L3" s="11" t="s">
        <v>11</v>
      </c>
      <c r="M3" s="1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0.5" customHeight="1" x14ac:dyDescent="0.25">
      <c r="A4" s="1" t="s">
        <v>29</v>
      </c>
      <c r="B4" s="11">
        <v>-1.8599999999999998E-2</v>
      </c>
      <c r="C4" s="11">
        <v>-3.1699999999999999E-2</v>
      </c>
      <c r="D4" s="11">
        <v>6.4000000000000003E-3</v>
      </c>
      <c r="E4" s="11">
        <v>-3.39E-2</v>
      </c>
      <c r="F4" s="11">
        <v>-1.6500000000000001E-2</v>
      </c>
      <c r="G4" s="11">
        <v>-7.7999999999999996E-3</v>
      </c>
      <c r="H4" s="11">
        <v>-2.5399999999999999E-2</v>
      </c>
      <c r="I4" s="11">
        <v>6.1000000000000004E-3</v>
      </c>
      <c r="J4" s="11">
        <v>-4.8999999999999998E-3</v>
      </c>
      <c r="K4" s="11">
        <v>-5.9400000000000001E-2</v>
      </c>
      <c r="L4" s="11">
        <v>-2.4299999999999999E-2</v>
      </c>
      <c r="M4" s="11">
        <v>1.2999999999999999E-3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0.5" customHeight="1" x14ac:dyDescent="0.25">
      <c r="A5" s="1"/>
      <c r="B5" s="11">
        <v>-1.7500000000000002E-2</v>
      </c>
      <c r="C5" s="11">
        <v>-3.4799999999999998E-2</v>
      </c>
      <c r="D5" s="11">
        <v>-1.6199999999999999E-2</v>
      </c>
      <c r="E5" s="11">
        <v>-4.1300000000000003E-2</v>
      </c>
      <c r="F5" s="11">
        <v>-1.8100000000000002E-2</v>
      </c>
      <c r="G5" s="11">
        <v>-3.5299999999999998E-2</v>
      </c>
      <c r="H5" s="11">
        <v>-1.7899999999999999E-2</v>
      </c>
      <c r="I5" s="11">
        <v>-3.6700000000000003E-2</v>
      </c>
      <c r="J5" s="11">
        <v>-1.8599999999999998E-2</v>
      </c>
      <c r="K5" s="11">
        <v>-3.8699999999999998E-2</v>
      </c>
      <c r="L5" s="11">
        <v>-1.6299999999999999E-2</v>
      </c>
      <c r="M5" s="11">
        <v>-3.1899999999999998E-2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.5" customHeight="1" x14ac:dyDescent="0.25">
      <c r="A6" s="1" t="s">
        <v>25</v>
      </c>
      <c r="B6" s="11">
        <v>0.14829999999999999</v>
      </c>
      <c r="C6" s="11">
        <v>6.2600000000000003E-2</v>
      </c>
      <c r="D6" s="11">
        <v>0.1118</v>
      </c>
      <c r="E6" s="11">
        <v>0.27</v>
      </c>
      <c r="F6" s="11">
        <v>0.15509999999999999</v>
      </c>
      <c r="G6" s="11">
        <v>0.17560000000000001</v>
      </c>
      <c r="H6" s="11">
        <v>0.1206</v>
      </c>
      <c r="I6" s="11">
        <v>8.0999999999999996E-3</v>
      </c>
      <c r="J6" s="11">
        <v>0.11169999999999999</v>
      </c>
      <c r="K6" s="11">
        <v>0.21510000000000001</v>
      </c>
      <c r="L6" s="11">
        <v>9.8100000000000007E-2</v>
      </c>
      <c r="M6" s="11">
        <v>0.3841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.5" customHeight="1" x14ac:dyDescent="0.25">
      <c r="A7" s="1"/>
      <c r="B7" s="11">
        <v>-2.92E-2</v>
      </c>
      <c r="C7" s="11">
        <v>-4.4299999999999999E-2</v>
      </c>
      <c r="D7" s="11">
        <v>-2.63E-2</v>
      </c>
      <c r="E7" s="11">
        <v>-5.9499999999999997E-2</v>
      </c>
      <c r="F7" s="11">
        <v>-2.9000000000000001E-2</v>
      </c>
      <c r="G7" s="11">
        <v>-5.67E-2</v>
      </c>
      <c r="H7" s="11">
        <v>-3.49E-2</v>
      </c>
      <c r="I7" s="11">
        <v>-5.0299999999999997E-2</v>
      </c>
      <c r="J7" s="11">
        <v>-3.2300000000000002E-2</v>
      </c>
      <c r="K7" s="11">
        <v>-5.6399999999999999E-2</v>
      </c>
      <c r="L7" s="11">
        <v>-2.69E-2</v>
      </c>
      <c r="M7" s="11">
        <v>-7.0699999999999999E-2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0.5" customHeight="1" x14ac:dyDescent="0.25">
      <c r="A8" s="1" t="s">
        <v>30</v>
      </c>
      <c r="B8" s="11">
        <v>-5.1700000000000003E-2</v>
      </c>
      <c r="C8" s="11">
        <v>-4.9200000000000001E-2</v>
      </c>
      <c r="D8" s="11">
        <v>-5.4100000000000002E-2</v>
      </c>
      <c r="E8" s="11">
        <v>-8.2000000000000003E-2</v>
      </c>
      <c r="F8" s="11">
        <v>-4.6300000000000001E-2</v>
      </c>
      <c r="G8" s="11">
        <v>-4.3099999999999999E-2</v>
      </c>
      <c r="H8" s="11">
        <v>-3.9300000000000002E-2</v>
      </c>
      <c r="I8" s="11">
        <v>-3.7199999999999997E-2</v>
      </c>
      <c r="J8" s="11">
        <v>-4.7800000000000002E-2</v>
      </c>
      <c r="K8" s="11">
        <v>-5.9499999999999997E-2</v>
      </c>
      <c r="L8" s="11">
        <v>-1.4500000000000001E-2</v>
      </c>
      <c r="M8" s="11">
        <v>-3.9899999999999998E-2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0.5" customHeight="1" x14ac:dyDescent="0.25">
      <c r="A9" s="1"/>
      <c r="B9" s="11">
        <v>-5.7000000000000002E-3</v>
      </c>
      <c r="C9" s="11">
        <v>-9.4000000000000004E-3</v>
      </c>
      <c r="D9" s="11">
        <v>-5.4000000000000003E-3</v>
      </c>
      <c r="E9" s="11">
        <v>-1.4800000000000001E-2</v>
      </c>
      <c r="F9" s="11">
        <v>-5.4999999999999997E-3</v>
      </c>
      <c r="G9" s="11">
        <v>-1.0500000000000001E-2</v>
      </c>
      <c r="H9" s="11">
        <v>-6.1999999999999998E-3</v>
      </c>
      <c r="I9" s="11">
        <v>-9.4000000000000004E-3</v>
      </c>
      <c r="J9" s="11">
        <v>-6.8999999999999999E-3</v>
      </c>
      <c r="K9" s="11">
        <v>-1.24E-2</v>
      </c>
      <c r="L9" s="11">
        <v>-6.0000000000000001E-3</v>
      </c>
      <c r="M9" s="11">
        <v>-1.2200000000000001E-2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0.5" customHeight="1" x14ac:dyDescent="0.25">
      <c r="A10" s="1" t="s">
        <v>31</v>
      </c>
      <c r="B10" s="11">
        <v>-0.1658</v>
      </c>
      <c r="C10" s="11">
        <v>-7.4200000000000002E-2</v>
      </c>
      <c r="D10" s="11">
        <v>-0.1249</v>
      </c>
      <c r="E10" s="11">
        <v>0.27210000000000001</v>
      </c>
      <c r="F10" s="11">
        <v>-0.21029999999999999</v>
      </c>
      <c r="G10" s="11">
        <v>0.13719999999999999</v>
      </c>
      <c r="H10" s="11">
        <v>-0.4133</v>
      </c>
      <c r="I10" s="11">
        <v>7.6100000000000001E-2</v>
      </c>
      <c r="J10" s="11">
        <v>-2.5600000000000001E-2</v>
      </c>
      <c r="K10" s="11">
        <v>0.32919999999999999</v>
      </c>
      <c r="L10" s="11">
        <v>0.22800000000000001</v>
      </c>
      <c r="M10" s="11">
        <v>0.41460000000000002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0.5" customHeight="1" x14ac:dyDescent="0.25">
      <c r="A11" s="1"/>
      <c r="B11" s="11">
        <v>-0.1487</v>
      </c>
      <c r="C11" s="11">
        <v>-0.21210000000000001</v>
      </c>
      <c r="D11" s="11">
        <v>-0.14419999999999999</v>
      </c>
      <c r="E11" s="11">
        <v>-0.23849999999999999</v>
      </c>
      <c r="F11" s="11">
        <v>-0.13980000000000001</v>
      </c>
      <c r="G11" s="11">
        <v>-0.2278</v>
      </c>
      <c r="H11" s="11">
        <v>-0.1472</v>
      </c>
      <c r="I11" s="11">
        <v>-0.2276</v>
      </c>
      <c r="J11" s="11">
        <v>-0.1623</v>
      </c>
      <c r="K11" s="11">
        <v>-0.24979999999999999</v>
      </c>
      <c r="L11" s="11">
        <v>-0.15129999999999999</v>
      </c>
      <c r="M11" s="11">
        <v>-0.25569999999999998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0.5" customHeight="1" x14ac:dyDescent="0.25">
      <c r="A12" s="1" t="s">
        <v>32</v>
      </c>
      <c r="B12" s="11">
        <v>1.9E-3</v>
      </c>
      <c r="C12" s="11">
        <v>5.0000000000000001E-4</v>
      </c>
      <c r="D12" s="11">
        <v>2.3E-3</v>
      </c>
      <c r="E12" s="11">
        <v>2.5999999999999999E-3</v>
      </c>
      <c r="F12" s="11">
        <v>1.6000000000000001E-3</v>
      </c>
      <c r="G12" s="11">
        <v>2.0999999999999999E-3</v>
      </c>
      <c r="H12" s="11">
        <v>1.1000000000000001E-3</v>
      </c>
      <c r="I12" s="11">
        <v>1.9E-3</v>
      </c>
      <c r="J12" s="11">
        <v>8.9999999999999998E-4</v>
      </c>
      <c r="K12" s="11">
        <v>-2.9999999999999997E-4</v>
      </c>
      <c r="L12" s="11">
        <v>2.0000000000000001E-4</v>
      </c>
      <c r="M12" s="11">
        <v>1.4E-3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0.5" customHeight="1" x14ac:dyDescent="0.25">
      <c r="A13" s="1"/>
      <c r="B13" s="11">
        <v>-8.0000000000000004E-4</v>
      </c>
      <c r="C13" s="11">
        <v>-1.1999999999999999E-3</v>
      </c>
      <c r="D13" s="11">
        <v>-8.0000000000000004E-4</v>
      </c>
      <c r="E13" s="11">
        <v>-1.2999999999999999E-3</v>
      </c>
      <c r="F13" s="11">
        <v>-6.9999999999999999E-4</v>
      </c>
      <c r="G13" s="11">
        <v>-1.1999999999999999E-3</v>
      </c>
      <c r="H13" s="11">
        <v>-8.0000000000000004E-4</v>
      </c>
      <c r="I13" s="11">
        <v>-1.2999999999999999E-3</v>
      </c>
      <c r="J13" s="11">
        <v>-8.9999999999999998E-4</v>
      </c>
      <c r="K13" s="11">
        <v>-1.1999999999999999E-3</v>
      </c>
      <c r="L13" s="11">
        <v>-6.9999999999999999E-4</v>
      </c>
      <c r="M13" s="11">
        <v>-1E-3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0.5" customHeight="1" x14ac:dyDescent="0.25">
      <c r="A14" s="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0.5" customHeight="1" x14ac:dyDescent="0.25">
      <c r="A15" s="1"/>
      <c r="B15" s="15" t="s">
        <v>34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0.5" customHeight="1" x14ac:dyDescent="0.25">
      <c r="A16" s="1"/>
      <c r="B16" s="11" t="s">
        <v>6</v>
      </c>
      <c r="C16" s="11"/>
      <c r="D16" s="11" t="s">
        <v>7</v>
      </c>
      <c r="E16" s="11"/>
      <c r="F16" s="11" t="s">
        <v>8</v>
      </c>
      <c r="G16" s="11"/>
      <c r="H16" s="11" t="s">
        <v>9</v>
      </c>
      <c r="I16" s="11"/>
      <c r="J16" s="11" t="s">
        <v>10</v>
      </c>
      <c r="K16" s="11"/>
      <c r="L16" s="11" t="s">
        <v>11</v>
      </c>
      <c r="M16" s="1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0.5" customHeight="1" x14ac:dyDescent="0.25">
      <c r="A17" s="1" t="s">
        <v>29</v>
      </c>
      <c r="B17" s="11">
        <v>-4.0800000000000003E-2</v>
      </c>
      <c r="C17" s="11">
        <v>-5.4899999999999997E-2</v>
      </c>
      <c r="D17" s="11">
        <v>-3.15E-2</v>
      </c>
      <c r="E17" s="11">
        <v>-2.8400000000000002E-2</v>
      </c>
      <c r="F17" s="11">
        <v>-3.4000000000000002E-2</v>
      </c>
      <c r="G17" s="11">
        <v>-0.16619999999999999</v>
      </c>
      <c r="H17" s="11">
        <v>-4.1599999999999998E-2</v>
      </c>
      <c r="I17" s="11">
        <v>-9.5100000000000004E-2</v>
      </c>
      <c r="J17" s="11">
        <v>-2.23E-2</v>
      </c>
      <c r="K17" s="11">
        <v>-5.1400000000000001E-2</v>
      </c>
      <c r="L17" s="11">
        <v>-2.4400000000000002E-2</v>
      </c>
      <c r="M17" s="11">
        <v>-7.8100000000000003E-2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0.5" customHeight="1" x14ac:dyDescent="0.25">
      <c r="A18" s="1"/>
      <c r="B18" s="11">
        <v>-1.35E-2</v>
      </c>
      <c r="C18" s="11">
        <v>-3.2300000000000002E-2</v>
      </c>
      <c r="D18" s="11">
        <v>-1.34E-2</v>
      </c>
      <c r="E18" s="11">
        <v>-2.86E-2</v>
      </c>
      <c r="F18" s="11">
        <v>-1.41E-2</v>
      </c>
      <c r="G18" s="11">
        <v>-2.5000000000000001E-2</v>
      </c>
      <c r="H18" s="11">
        <v>-1.44E-2</v>
      </c>
      <c r="I18" s="11">
        <v>-4.8899999999999999E-2</v>
      </c>
      <c r="J18" s="11">
        <v>-1.54E-2</v>
      </c>
      <c r="K18" s="11">
        <v>-2.3800000000000002E-2</v>
      </c>
      <c r="L18" s="11">
        <v>-1.49E-2</v>
      </c>
      <c r="M18" s="11">
        <v>-4.24E-2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0.5" customHeight="1" x14ac:dyDescent="0.25">
      <c r="A19" s="1" t="s">
        <v>25</v>
      </c>
      <c r="B19" s="11">
        <v>4.6199999999999998E-2</v>
      </c>
      <c r="C19" s="11">
        <v>0.37009999999999998</v>
      </c>
      <c r="D19" s="11">
        <v>2.7400000000000001E-2</v>
      </c>
      <c r="E19" s="11">
        <v>0.3679</v>
      </c>
      <c r="F19" s="11">
        <v>4.3400000000000001E-2</v>
      </c>
      <c r="G19" s="11">
        <v>0.49990000000000001</v>
      </c>
      <c r="H19" s="11">
        <v>3.9100000000000003E-2</v>
      </c>
      <c r="I19" s="11">
        <v>0.43559999999999999</v>
      </c>
      <c r="J19" s="11">
        <v>7.3499999999999996E-2</v>
      </c>
      <c r="K19" s="11">
        <v>0.61219999999999997</v>
      </c>
      <c r="L19" s="11">
        <v>6.6799999999999998E-2</v>
      </c>
      <c r="M19" s="11">
        <v>0.41289999999999999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0.5" customHeight="1" x14ac:dyDescent="0.25">
      <c r="A20" s="1"/>
      <c r="B20" s="11">
        <v>-2.5100000000000001E-2</v>
      </c>
      <c r="C20" s="11">
        <v>-5.6899999999999999E-2</v>
      </c>
      <c r="D20" s="11">
        <v>-2.3599999999999999E-2</v>
      </c>
      <c r="E20" s="11">
        <v>-6.6199999999999995E-2</v>
      </c>
      <c r="F20" s="11">
        <v>-2.63E-2</v>
      </c>
      <c r="G20" s="11">
        <v>-6.0699999999999997E-2</v>
      </c>
      <c r="H20" s="11">
        <v>-2.8000000000000001E-2</v>
      </c>
      <c r="I20" s="11">
        <v>-7.2900000000000006E-2</v>
      </c>
      <c r="J20" s="11">
        <v>-2.8199999999999999E-2</v>
      </c>
      <c r="K20" s="11">
        <v>-5.0900000000000001E-2</v>
      </c>
      <c r="L20" s="11">
        <v>-2.76E-2</v>
      </c>
      <c r="M20" s="11">
        <v>-8.3900000000000002E-2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0.5" customHeight="1" x14ac:dyDescent="0.25">
      <c r="A21" s="1" t="s">
        <v>30</v>
      </c>
      <c r="B21" s="11">
        <v>-2.6800000000000001E-2</v>
      </c>
      <c r="C21" s="11">
        <v>-4.87E-2</v>
      </c>
      <c r="D21" s="11">
        <v>-2.87E-2</v>
      </c>
      <c r="E21" s="11">
        <v>-3.0499999999999999E-2</v>
      </c>
      <c r="F21" s="11">
        <v>-2.4199999999999999E-2</v>
      </c>
      <c r="G21" s="11">
        <v>-0.14180000000000001</v>
      </c>
      <c r="H21" s="11">
        <v>-2.1700000000000001E-2</v>
      </c>
      <c r="I21" s="11">
        <v>-5.5399999999999998E-2</v>
      </c>
      <c r="J21" s="11">
        <v>-3.15E-2</v>
      </c>
      <c r="K21" s="11">
        <v>-5.9900000000000002E-2</v>
      </c>
      <c r="L21" s="11">
        <v>-6.4000000000000003E-3</v>
      </c>
      <c r="M21" s="11">
        <v>-5.57E-2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0.5" customHeight="1" x14ac:dyDescent="0.25">
      <c r="A22" s="1"/>
      <c r="B22" s="11">
        <v>-4.7000000000000002E-3</v>
      </c>
      <c r="C22" s="11">
        <v>-1.01E-2</v>
      </c>
      <c r="D22" s="11">
        <v>-5.4999999999999997E-3</v>
      </c>
      <c r="E22" s="11">
        <v>-1.26E-2</v>
      </c>
      <c r="F22" s="11">
        <v>-4.4000000000000003E-3</v>
      </c>
      <c r="G22" s="11">
        <v>-1.44E-2</v>
      </c>
      <c r="H22" s="11">
        <v>-4.8999999999999998E-3</v>
      </c>
      <c r="I22" s="11">
        <v>-1.35E-2</v>
      </c>
      <c r="J22" s="11">
        <v>-6.4999999999999997E-3</v>
      </c>
      <c r="K22" s="11">
        <v>-9.9000000000000008E-3</v>
      </c>
      <c r="L22" s="11">
        <v>-5.1999999999999998E-3</v>
      </c>
      <c r="M22" s="11">
        <v>-1.6799999999999999E-2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0.5" customHeight="1" x14ac:dyDescent="0.25">
      <c r="A23" s="1" t="s">
        <v>31</v>
      </c>
      <c r="B23" s="11">
        <v>-7.0000000000000007E-2</v>
      </c>
      <c r="C23" s="11">
        <v>0.23250000000000001</v>
      </c>
      <c r="D23" s="11">
        <v>-6.2E-2</v>
      </c>
      <c r="E23" s="11">
        <v>0.12820000000000001</v>
      </c>
      <c r="F23" s="11">
        <v>-8.4400000000000003E-2</v>
      </c>
      <c r="G23" s="11">
        <v>-6.0600000000000001E-2</v>
      </c>
      <c r="H23" s="11">
        <v>-0.16320000000000001</v>
      </c>
      <c r="I23" s="11">
        <v>0.42159999999999997</v>
      </c>
      <c r="J23" s="11">
        <v>-7.0000000000000007E-2</v>
      </c>
      <c r="K23" s="11">
        <v>0.24210000000000001</v>
      </c>
      <c r="L23" s="11">
        <v>0.25979999999999998</v>
      </c>
      <c r="M23" s="11">
        <v>0.44629999999999997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0.5" customHeight="1" x14ac:dyDescent="0.25">
      <c r="A24" s="1"/>
      <c r="B24" s="11">
        <v>-9.8799999999999999E-2</v>
      </c>
      <c r="C24" s="11">
        <v>-0.17680000000000001</v>
      </c>
      <c r="D24" s="11">
        <v>-9.6299999999999997E-2</v>
      </c>
      <c r="E24" s="11">
        <v>-0.19800000000000001</v>
      </c>
      <c r="F24" s="11">
        <v>-9.8299999999999998E-2</v>
      </c>
      <c r="G24" s="11">
        <v>-0.1273</v>
      </c>
      <c r="H24" s="11">
        <v>-0.1069</v>
      </c>
      <c r="I24" s="11">
        <v>-0.16889999999999999</v>
      </c>
      <c r="J24" s="11">
        <v>-0.11899999999999999</v>
      </c>
      <c r="K24" s="11">
        <v>-0.1404</v>
      </c>
      <c r="L24" s="11">
        <v>-0.13439999999999999</v>
      </c>
      <c r="M24" s="11">
        <v>-0.2316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0.5" customHeight="1" x14ac:dyDescent="0.25">
      <c r="A25" s="1" t="s">
        <v>32</v>
      </c>
      <c r="B25" s="11">
        <v>1.1000000000000001E-3</v>
      </c>
      <c r="C25" s="11">
        <v>1.9E-3</v>
      </c>
      <c r="D25" s="11">
        <v>1.1999999999999999E-3</v>
      </c>
      <c r="E25" s="11">
        <v>2.8999999999999998E-3</v>
      </c>
      <c r="F25" s="11">
        <v>1.1999999999999999E-3</v>
      </c>
      <c r="G25" s="11">
        <v>1E-3</v>
      </c>
      <c r="H25" s="11">
        <v>8.0000000000000004E-4</v>
      </c>
      <c r="I25" s="11">
        <v>3.5000000000000001E-3</v>
      </c>
      <c r="J25" s="11">
        <v>1.5E-3</v>
      </c>
      <c r="K25" s="11">
        <v>2.7000000000000001E-3</v>
      </c>
      <c r="L25" s="11">
        <v>5.0000000000000001E-4</v>
      </c>
      <c r="M25" s="11">
        <v>8.9999999999999998E-4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0.5" customHeight="1" x14ac:dyDescent="0.25">
      <c r="A26" s="1"/>
      <c r="B26" s="11">
        <v>-5.9999999999999995E-4</v>
      </c>
      <c r="C26" s="11">
        <v>-8.0000000000000004E-4</v>
      </c>
      <c r="D26" s="11">
        <v>-5.9999999999999995E-4</v>
      </c>
      <c r="E26" s="11">
        <v>-8.0000000000000004E-4</v>
      </c>
      <c r="F26" s="11">
        <v>-5.9999999999999995E-4</v>
      </c>
      <c r="G26" s="11">
        <v>-5.0000000000000001E-4</v>
      </c>
      <c r="H26" s="11">
        <v>-5.9999999999999995E-4</v>
      </c>
      <c r="I26" s="11">
        <v>-1.1999999999999999E-3</v>
      </c>
      <c r="J26" s="11">
        <v>-8.0000000000000004E-4</v>
      </c>
      <c r="K26" s="11">
        <v>-6.9999999999999999E-4</v>
      </c>
      <c r="L26" s="11">
        <v>-5.9999999999999995E-4</v>
      </c>
      <c r="M26" s="11">
        <v>-1E-3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0.5" customHeight="1" x14ac:dyDescent="0.25">
      <c r="A27" s="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0.5" customHeight="1" x14ac:dyDescent="0.25">
      <c r="A28" s="1"/>
      <c r="B28" s="15" t="s">
        <v>35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0.5" customHeight="1" x14ac:dyDescent="0.25">
      <c r="A29" s="1"/>
      <c r="B29" s="11" t="s">
        <v>6</v>
      </c>
      <c r="C29" s="11"/>
      <c r="D29" s="11" t="s">
        <v>7</v>
      </c>
      <c r="E29" s="11"/>
      <c r="F29" s="11" t="s">
        <v>8</v>
      </c>
      <c r="G29" s="11"/>
      <c r="H29" s="11" t="s">
        <v>9</v>
      </c>
      <c r="I29" s="11"/>
      <c r="J29" s="11" t="s">
        <v>10</v>
      </c>
      <c r="K29" s="11"/>
      <c r="L29" s="11" t="s">
        <v>11</v>
      </c>
      <c r="M29" s="1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0.5" customHeight="1" x14ac:dyDescent="0.25">
      <c r="A30" s="1" t="s">
        <v>29</v>
      </c>
      <c r="B30" s="11">
        <v>-4.1500000000000002E-2</v>
      </c>
      <c r="C30" s="11">
        <v>-7.3300000000000004E-2</v>
      </c>
      <c r="D30" s="11">
        <v>-2.3199999999999998E-2</v>
      </c>
      <c r="E30" s="11">
        <v>-4.7999999999999996E-3</v>
      </c>
      <c r="F30" s="11">
        <v>-4.7500000000000001E-2</v>
      </c>
      <c r="G30" s="11">
        <v>-7.7600000000000002E-2</v>
      </c>
      <c r="H30" s="11">
        <v>-4.5999999999999999E-2</v>
      </c>
      <c r="I30" s="11">
        <v>-7.1599999999999997E-2</v>
      </c>
      <c r="J30" s="11">
        <v>-4.1700000000000001E-2</v>
      </c>
      <c r="K30" s="11">
        <v>-4.0399999999999998E-2</v>
      </c>
      <c r="L30" s="11">
        <v>-1.9900000000000001E-2</v>
      </c>
      <c r="M30" s="11">
        <v>3.8300000000000001E-2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0.5" customHeight="1" x14ac:dyDescent="0.25">
      <c r="A31" s="1"/>
      <c r="B31" s="11">
        <v>-1.6799999999999999E-2</v>
      </c>
      <c r="C31" s="11">
        <v>-3.04E-2</v>
      </c>
      <c r="D31" s="11">
        <v>-1.5900000000000001E-2</v>
      </c>
      <c r="E31" s="11">
        <v>-2.2700000000000001E-2</v>
      </c>
      <c r="F31" s="11">
        <v>-1.7000000000000001E-2</v>
      </c>
      <c r="G31" s="11">
        <v>-3.04E-2</v>
      </c>
      <c r="H31" s="11">
        <v>-1.6500000000000001E-2</v>
      </c>
      <c r="I31" s="11">
        <v>-3.85E-2</v>
      </c>
      <c r="J31" s="11">
        <v>-1.9E-2</v>
      </c>
      <c r="K31" s="11">
        <v>-3.2500000000000001E-2</v>
      </c>
      <c r="L31" s="11">
        <v>-1.9800000000000002E-2</v>
      </c>
      <c r="M31" s="11">
        <v>-4.7199999999999999E-2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0.5" customHeight="1" x14ac:dyDescent="0.25">
      <c r="A32" s="1" t="s">
        <v>25</v>
      </c>
      <c r="B32" s="11">
        <v>0.1116</v>
      </c>
      <c r="C32" s="11">
        <v>0.19059999999999999</v>
      </c>
      <c r="D32" s="11">
        <v>9.2399999999999996E-2</v>
      </c>
      <c r="E32" s="11">
        <v>0.14149999999999999</v>
      </c>
      <c r="F32" s="11">
        <v>9.8199999999999996E-2</v>
      </c>
      <c r="G32" s="11">
        <v>0.3624</v>
      </c>
      <c r="H32" s="11">
        <v>9.7600000000000006E-2</v>
      </c>
      <c r="I32" s="11">
        <v>0.1615</v>
      </c>
      <c r="J32" s="11">
        <v>0.13170000000000001</v>
      </c>
      <c r="K32" s="11">
        <v>0.24179999999999999</v>
      </c>
      <c r="L32" s="11">
        <v>6.4199999999999993E-2</v>
      </c>
      <c r="M32" s="11">
        <v>9.2299999999999993E-2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0.5" customHeight="1" x14ac:dyDescent="0.25">
      <c r="A33" s="1"/>
      <c r="B33" s="11">
        <v>-2.3800000000000002E-2</v>
      </c>
      <c r="C33" s="11">
        <v>-5.2400000000000002E-2</v>
      </c>
      <c r="D33" s="11">
        <v>-1.9900000000000001E-2</v>
      </c>
      <c r="E33" s="11">
        <v>-3.8800000000000001E-2</v>
      </c>
      <c r="F33" s="11">
        <v>-2.5700000000000001E-2</v>
      </c>
      <c r="G33" s="11">
        <v>-6.0600000000000001E-2</v>
      </c>
      <c r="H33" s="11">
        <v>-2.6499999999999999E-2</v>
      </c>
      <c r="I33" s="11">
        <v>-6.8000000000000005E-2</v>
      </c>
      <c r="J33" s="11">
        <v>-2.7199999999999998E-2</v>
      </c>
      <c r="K33" s="11">
        <v>-6.0199999999999997E-2</v>
      </c>
      <c r="L33" s="11">
        <v>-2.81E-2</v>
      </c>
      <c r="M33" s="11">
        <v>-6.54E-2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0.5" customHeight="1" x14ac:dyDescent="0.25">
      <c r="A34" s="1" t="s">
        <v>30</v>
      </c>
      <c r="B34" s="11">
        <v>-3.56E-2</v>
      </c>
      <c r="C34" s="11">
        <v>-2.7099999999999999E-2</v>
      </c>
      <c r="D34" s="11">
        <v>-3.8399999999999997E-2</v>
      </c>
      <c r="E34" s="11">
        <v>-4.7000000000000002E-3</v>
      </c>
      <c r="F34" s="11">
        <v>-2.58E-2</v>
      </c>
      <c r="G34" s="11">
        <v>-0.1038</v>
      </c>
      <c r="H34" s="11">
        <v>-2.6700000000000002E-2</v>
      </c>
      <c r="I34" s="11">
        <v>-2.9899999999999999E-2</v>
      </c>
      <c r="J34" s="11">
        <v>-4.4200000000000003E-2</v>
      </c>
      <c r="K34" s="11">
        <v>-2.01E-2</v>
      </c>
      <c r="L34" s="11">
        <v>-3.5999999999999999E-3</v>
      </c>
      <c r="M34" s="11">
        <v>1.2800000000000001E-2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0.5" customHeight="1" x14ac:dyDescent="0.25">
      <c r="A35" s="1"/>
      <c r="B35" s="11">
        <v>-5.3E-3</v>
      </c>
      <c r="C35" s="11">
        <v>-1.0999999999999999E-2</v>
      </c>
      <c r="D35" s="11">
        <v>-5.7000000000000002E-3</v>
      </c>
      <c r="E35" s="11">
        <v>-0.01</v>
      </c>
      <c r="F35" s="11">
        <v>-5.4000000000000003E-3</v>
      </c>
      <c r="G35" s="11">
        <v>-1.5699999999999999E-2</v>
      </c>
      <c r="H35" s="11">
        <v>-5.3E-3</v>
      </c>
      <c r="I35" s="11">
        <v>-1.1599999999999999E-2</v>
      </c>
      <c r="J35" s="11">
        <v>-6.1000000000000004E-3</v>
      </c>
      <c r="K35" s="11">
        <v>-1.2800000000000001E-2</v>
      </c>
      <c r="L35" s="11">
        <v>-6.0000000000000001E-3</v>
      </c>
      <c r="M35" s="11">
        <v>-1.0800000000000001E-2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0.5" customHeight="1" x14ac:dyDescent="0.25">
      <c r="A36" s="1" t="s">
        <v>31</v>
      </c>
      <c r="B36" s="11">
        <v>7.1599999999999997E-2</v>
      </c>
      <c r="C36" s="11">
        <v>-0.10829999999999999</v>
      </c>
      <c r="D36" s="11">
        <v>3.8699999999999998E-2</v>
      </c>
      <c r="E36" s="11">
        <v>-0.2203</v>
      </c>
      <c r="F36" s="11">
        <v>2.52E-2</v>
      </c>
      <c r="G36" s="11">
        <v>0.2361</v>
      </c>
      <c r="H36" s="11">
        <v>-1.9900000000000001E-2</v>
      </c>
      <c r="I36" s="11">
        <v>0.4551</v>
      </c>
      <c r="J36" s="11">
        <v>-3.0499999999999999E-2</v>
      </c>
      <c r="K36" s="11">
        <v>0.51300000000000001</v>
      </c>
      <c r="L36" s="11">
        <v>0.34870000000000001</v>
      </c>
      <c r="M36" s="11">
        <v>0.69089999999999996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0.5" customHeight="1" x14ac:dyDescent="0.25">
      <c r="A37" s="1"/>
      <c r="B37" s="11">
        <v>-0.1265</v>
      </c>
      <c r="C37" s="11">
        <v>-0.18029999999999999</v>
      </c>
      <c r="D37" s="11">
        <v>-0.1215</v>
      </c>
      <c r="E37" s="11">
        <v>-0.14499999999999999</v>
      </c>
      <c r="F37" s="11">
        <v>-0.12770000000000001</v>
      </c>
      <c r="G37" s="11">
        <v>-0.15390000000000001</v>
      </c>
      <c r="H37" s="11">
        <v>-0.1283</v>
      </c>
      <c r="I37" s="11">
        <v>-0.1726</v>
      </c>
      <c r="J37" s="11">
        <v>-0.1356</v>
      </c>
      <c r="K37" s="11">
        <v>-0.19320000000000001</v>
      </c>
      <c r="L37" s="11">
        <v>-0.16070000000000001</v>
      </c>
      <c r="M37" s="11">
        <v>-0.20710000000000001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0.5" customHeight="1" x14ac:dyDescent="0.25">
      <c r="A38" s="1" t="s">
        <v>32</v>
      </c>
      <c r="B38" s="11">
        <v>2.7000000000000001E-3</v>
      </c>
      <c r="C38" s="11">
        <v>-5.0000000000000001E-4</v>
      </c>
      <c r="D38" s="11">
        <v>2.8999999999999998E-3</v>
      </c>
      <c r="E38" s="11">
        <v>2.2000000000000001E-3</v>
      </c>
      <c r="F38" s="11">
        <v>2.5000000000000001E-3</v>
      </c>
      <c r="G38" s="11">
        <v>2.8999999999999998E-3</v>
      </c>
      <c r="H38" s="11">
        <v>2.3999999999999998E-3</v>
      </c>
      <c r="I38" s="11">
        <v>3.5000000000000001E-3</v>
      </c>
      <c r="J38" s="11">
        <v>1.6999999999999999E-3</v>
      </c>
      <c r="K38" s="11">
        <v>3.3E-3</v>
      </c>
      <c r="L38" s="11">
        <v>2.9999999999999997E-4</v>
      </c>
      <c r="M38" s="11">
        <v>3.0000000000000001E-3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0.5" customHeight="1" x14ac:dyDescent="0.25">
      <c r="A39" s="1"/>
      <c r="B39" s="11">
        <v>-8.0000000000000004E-4</v>
      </c>
      <c r="C39" s="11">
        <v>-1.1000000000000001E-3</v>
      </c>
      <c r="D39" s="11">
        <v>-6.9999999999999999E-4</v>
      </c>
      <c r="E39" s="11">
        <v>-8.9999999999999998E-4</v>
      </c>
      <c r="F39" s="11">
        <v>-6.9999999999999999E-4</v>
      </c>
      <c r="G39" s="11">
        <v>-8.9999999999999998E-4</v>
      </c>
      <c r="H39" s="11">
        <v>-8.0000000000000004E-4</v>
      </c>
      <c r="I39" s="11">
        <v>-1.1000000000000001E-3</v>
      </c>
      <c r="J39" s="11">
        <v>-8.9999999999999998E-4</v>
      </c>
      <c r="K39" s="11">
        <v>-1.1999999999999999E-3</v>
      </c>
      <c r="L39" s="11">
        <v>-8.0000000000000004E-4</v>
      </c>
      <c r="M39" s="11">
        <v>-1.2999999999999999E-3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0.5" customHeight="1" x14ac:dyDescent="0.25">
      <c r="A40" s="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0.5" customHeight="1" x14ac:dyDescent="0.25">
      <c r="A41" s="1"/>
      <c r="B41" s="15" t="s">
        <v>36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0.5" customHeight="1" x14ac:dyDescent="0.25">
      <c r="A42" s="1"/>
      <c r="B42" s="11" t="s">
        <v>6</v>
      </c>
      <c r="C42" s="11"/>
      <c r="D42" s="11" t="s">
        <v>7</v>
      </c>
      <c r="E42" s="11"/>
      <c r="F42" s="11" t="s">
        <v>8</v>
      </c>
      <c r="G42" s="11"/>
      <c r="H42" s="11" t="s">
        <v>9</v>
      </c>
      <c r="I42" s="11"/>
      <c r="J42" s="11" t="s">
        <v>10</v>
      </c>
      <c r="K42" s="11"/>
      <c r="L42" s="11" t="s">
        <v>11</v>
      </c>
      <c r="M42" s="1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0.5" customHeight="1" x14ac:dyDescent="0.25">
      <c r="A43" s="1" t="s">
        <v>29</v>
      </c>
      <c r="B43" s="11">
        <v>-2.5600000000000001E-2</v>
      </c>
      <c r="C43" s="11">
        <v>-2.58E-2</v>
      </c>
      <c r="D43" s="11">
        <v>5.7999999999999996E-3</v>
      </c>
      <c r="E43" s="11">
        <v>-2.24E-2</v>
      </c>
      <c r="F43" s="11">
        <v>-1.9400000000000001E-2</v>
      </c>
      <c r="G43" s="11">
        <v>-0.15509999999999999</v>
      </c>
      <c r="H43" s="11">
        <v>-1.7399999999999999E-2</v>
      </c>
      <c r="I43" s="11">
        <v>-4.87E-2</v>
      </c>
      <c r="J43" s="11">
        <v>-1.9300000000000001E-2</v>
      </c>
      <c r="K43" s="11">
        <v>-8.9899999999999994E-2</v>
      </c>
      <c r="L43" s="11">
        <v>-1.9300000000000001E-2</v>
      </c>
      <c r="M43" s="11">
        <v>-0.1452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0.5" customHeight="1" x14ac:dyDescent="0.25">
      <c r="A44" s="1"/>
      <c r="B44" s="11">
        <v>-1.9099999999999999E-2</v>
      </c>
      <c r="C44" s="11">
        <v>-2.5600000000000001E-2</v>
      </c>
      <c r="D44" s="11">
        <v>-1.95E-2</v>
      </c>
      <c r="E44" s="11">
        <v>-2.6499999999999999E-2</v>
      </c>
      <c r="F44" s="11">
        <v>-2.1100000000000001E-2</v>
      </c>
      <c r="G44" s="11">
        <v>-3.1899999999999998E-2</v>
      </c>
      <c r="H44" s="11">
        <v>-2.1600000000000001E-2</v>
      </c>
      <c r="I44" s="11">
        <v>-3.7699999999999997E-2</v>
      </c>
      <c r="J44" s="11">
        <v>-1.89E-2</v>
      </c>
      <c r="K44" s="11">
        <v>-3.1300000000000001E-2</v>
      </c>
      <c r="L44" s="11">
        <v>-2.1600000000000001E-2</v>
      </c>
      <c r="M44" s="11">
        <v>-3.2099999999999997E-2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0.5" customHeight="1" x14ac:dyDescent="0.25">
      <c r="A45" s="1" t="s">
        <v>25</v>
      </c>
      <c r="B45" s="11">
        <v>0.1933</v>
      </c>
      <c r="C45" s="11">
        <v>5.4600000000000003E-2</v>
      </c>
      <c r="D45" s="11">
        <v>0.1575</v>
      </c>
      <c r="E45" s="11">
        <v>6.8099999999999994E-2</v>
      </c>
      <c r="F45" s="11">
        <v>0.19919999999999999</v>
      </c>
      <c r="G45" s="11">
        <v>0.25940000000000002</v>
      </c>
      <c r="H45" s="11">
        <v>0.19639999999999999</v>
      </c>
      <c r="I45" s="11">
        <v>8.3099999999999993E-2</v>
      </c>
      <c r="J45" s="11">
        <v>0.1709</v>
      </c>
      <c r="K45" s="11">
        <v>0.1532</v>
      </c>
      <c r="L45" s="11">
        <v>0.1487</v>
      </c>
      <c r="M45" s="11">
        <v>0.1842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0.5" customHeight="1" x14ac:dyDescent="0.25">
      <c r="A46" s="1"/>
      <c r="B46" s="11">
        <v>-1.9E-2</v>
      </c>
      <c r="C46" s="11">
        <v>-2.93E-2</v>
      </c>
      <c r="D46" s="11">
        <v>-2.0199999999999999E-2</v>
      </c>
      <c r="E46" s="11">
        <v>-3.2000000000000001E-2</v>
      </c>
      <c r="F46" s="11">
        <v>-2.1000000000000001E-2</v>
      </c>
      <c r="G46" s="11">
        <v>-3.9E-2</v>
      </c>
      <c r="H46" s="11">
        <v>-2.52E-2</v>
      </c>
      <c r="I46" s="11">
        <v>-3.7699999999999997E-2</v>
      </c>
      <c r="J46" s="11">
        <v>-2.0199999999999999E-2</v>
      </c>
      <c r="K46" s="11">
        <v>-3.5000000000000003E-2</v>
      </c>
      <c r="L46" s="11">
        <v>-2.81E-2</v>
      </c>
      <c r="M46" s="11">
        <v>-3.5299999999999998E-2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0.5" customHeight="1" x14ac:dyDescent="0.25">
      <c r="A47" s="1" t="s">
        <v>30</v>
      </c>
      <c r="B47" s="11">
        <v>-4.7500000000000001E-2</v>
      </c>
      <c r="C47" s="11">
        <v>-1.6400000000000001E-2</v>
      </c>
      <c r="D47" s="11">
        <v>-4.8800000000000003E-2</v>
      </c>
      <c r="E47" s="11">
        <v>-1.9E-2</v>
      </c>
      <c r="F47" s="11">
        <v>-5.0999999999999997E-2</v>
      </c>
      <c r="G47" s="11">
        <v>-8.5000000000000006E-2</v>
      </c>
      <c r="H47" s="11">
        <v>-3.6999999999999998E-2</v>
      </c>
      <c r="I47" s="11">
        <v>-2.5499999999999998E-2</v>
      </c>
      <c r="J47" s="11">
        <v>-4.7100000000000003E-2</v>
      </c>
      <c r="K47" s="11">
        <v>-5.62E-2</v>
      </c>
      <c r="L47" s="11">
        <v>-1.5900000000000001E-2</v>
      </c>
      <c r="M47" s="11">
        <v>-2.24E-2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0.5" customHeight="1" x14ac:dyDescent="0.25">
      <c r="A48" s="1"/>
      <c r="B48" s="11">
        <v>-8.5000000000000006E-3</v>
      </c>
      <c r="C48" s="11">
        <v>-1.0800000000000001E-2</v>
      </c>
      <c r="D48" s="11">
        <v>-8.3999999999999995E-3</v>
      </c>
      <c r="E48" s="11">
        <v>-0.01</v>
      </c>
      <c r="F48" s="11">
        <v>-8.3000000000000001E-3</v>
      </c>
      <c r="G48" s="11">
        <v>-1.4200000000000001E-2</v>
      </c>
      <c r="H48" s="11">
        <v>-9.5999999999999992E-3</v>
      </c>
      <c r="I48" s="11">
        <v>-1.3299999999999999E-2</v>
      </c>
      <c r="J48" s="11">
        <v>-8.6E-3</v>
      </c>
      <c r="K48" s="11">
        <v>-1.1900000000000001E-2</v>
      </c>
      <c r="L48" s="11">
        <v>-8.0999999999999996E-3</v>
      </c>
      <c r="M48" s="11">
        <v>-1.0699999999999999E-2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0.5" customHeight="1" x14ac:dyDescent="0.25">
      <c r="A49" s="1" t="s">
        <v>31</v>
      </c>
      <c r="B49" s="11">
        <v>-5.8799999999999998E-2</v>
      </c>
      <c r="C49" s="11">
        <v>7.6499999999999999E-2</v>
      </c>
      <c r="D49" s="11">
        <v>-0.1028</v>
      </c>
      <c r="E49" s="11">
        <v>-0.13880000000000001</v>
      </c>
      <c r="F49" s="11">
        <v>-7.8299999999999995E-2</v>
      </c>
      <c r="G49" s="11">
        <v>0.24049999999999999</v>
      </c>
      <c r="H49" s="11">
        <v>-0.1389</v>
      </c>
      <c r="I49" s="11">
        <v>0.23949999999999999</v>
      </c>
      <c r="J49" s="11">
        <v>-7.0599999999999996E-2</v>
      </c>
      <c r="K49" s="11">
        <v>0.30359999999999998</v>
      </c>
      <c r="L49" s="11">
        <v>0.28389999999999999</v>
      </c>
      <c r="M49" s="11">
        <v>0.62980000000000003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0.5" customHeight="1" x14ac:dyDescent="0.25">
      <c r="A50" s="1"/>
      <c r="B50" s="11">
        <v>-0.14069999999999999</v>
      </c>
      <c r="C50" s="11">
        <v>-0.1308</v>
      </c>
      <c r="D50" s="11">
        <v>-0.14360000000000001</v>
      </c>
      <c r="E50" s="11">
        <v>-0.155</v>
      </c>
      <c r="F50" s="11">
        <v>-0.14849999999999999</v>
      </c>
      <c r="G50" s="11">
        <v>-0.16089999999999999</v>
      </c>
      <c r="H50" s="11">
        <v>-0.16139999999999999</v>
      </c>
      <c r="I50" s="11">
        <v>-0.16669999999999999</v>
      </c>
      <c r="J50" s="11">
        <v>-0.14069999999999999</v>
      </c>
      <c r="K50" s="11">
        <v>-0.1628</v>
      </c>
      <c r="L50" s="11">
        <v>-0.16639999999999999</v>
      </c>
      <c r="M50" s="11">
        <v>-0.1391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0.5" customHeight="1" x14ac:dyDescent="0.25">
      <c r="A51" s="1" t="s">
        <v>32</v>
      </c>
      <c r="B51" s="11">
        <v>2.2000000000000001E-3</v>
      </c>
      <c r="C51" s="11">
        <v>8.0000000000000004E-4</v>
      </c>
      <c r="D51" s="11">
        <v>2.8999999999999998E-3</v>
      </c>
      <c r="E51" s="11">
        <v>1.6000000000000001E-3</v>
      </c>
      <c r="F51" s="11">
        <v>2.8E-3</v>
      </c>
      <c r="G51" s="11">
        <v>1.8E-3</v>
      </c>
      <c r="H51" s="11">
        <v>2.3999999999999998E-3</v>
      </c>
      <c r="I51" s="11">
        <v>2.3E-3</v>
      </c>
      <c r="J51" s="11">
        <v>1.5E-3</v>
      </c>
      <c r="K51" s="11">
        <v>2.7000000000000001E-3</v>
      </c>
      <c r="L51" s="11">
        <v>8.9999999999999998E-4</v>
      </c>
      <c r="M51" s="11">
        <v>2.2000000000000001E-3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0.5" customHeight="1" x14ac:dyDescent="0.25">
      <c r="A52" s="1"/>
      <c r="B52" s="11">
        <v>-8.0000000000000004E-4</v>
      </c>
      <c r="C52" s="11">
        <v>-8.9999999999999998E-4</v>
      </c>
      <c r="D52" s="11">
        <v>-8.0000000000000004E-4</v>
      </c>
      <c r="E52" s="11">
        <v>-1E-3</v>
      </c>
      <c r="F52" s="11">
        <v>-8.0000000000000004E-4</v>
      </c>
      <c r="G52" s="11">
        <v>-8.9999999999999998E-4</v>
      </c>
      <c r="H52" s="11">
        <v>-8.9999999999999998E-4</v>
      </c>
      <c r="I52" s="11">
        <v>-1.1000000000000001E-3</v>
      </c>
      <c r="J52" s="11">
        <v>-8.9999999999999998E-4</v>
      </c>
      <c r="K52" s="11">
        <v>-1E-3</v>
      </c>
      <c r="L52" s="11">
        <v>-8.0000000000000004E-4</v>
      </c>
      <c r="M52" s="11">
        <v>-8.9999999999999998E-4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0.5" customHeight="1" x14ac:dyDescent="0.25">
      <c r="A53" s="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0.5" customHeight="1" x14ac:dyDescent="0.25">
      <c r="A54" s="1"/>
      <c r="B54" s="15" t="s">
        <v>37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0.5" customHeight="1" x14ac:dyDescent="0.25">
      <c r="A55" s="1"/>
      <c r="B55" s="11" t="s">
        <v>6</v>
      </c>
      <c r="C55" s="11"/>
      <c r="D55" s="11" t="s">
        <v>7</v>
      </c>
      <c r="E55" s="11"/>
      <c r="F55" s="11" t="s">
        <v>8</v>
      </c>
      <c r="G55" s="11"/>
      <c r="H55" s="11" t="s">
        <v>9</v>
      </c>
      <c r="I55" s="11"/>
      <c r="J55" s="11" t="s">
        <v>10</v>
      </c>
      <c r="K55" s="11"/>
      <c r="L55" s="11" t="s">
        <v>11</v>
      </c>
      <c r="M55" s="1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0.5" customHeight="1" x14ac:dyDescent="0.25">
      <c r="A56" s="1" t="s">
        <v>29</v>
      </c>
      <c r="B56" s="11">
        <v>-6.1999999999999998E-3</v>
      </c>
      <c r="C56" s="11">
        <v>-9.0999999999999998E-2</v>
      </c>
      <c r="D56" s="11">
        <v>1.9199999999999998E-2</v>
      </c>
      <c r="E56" s="11">
        <v>-1.06E-2</v>
      </c>
      <c r="F56" s="11">
        <v>8.0000000000000004E-4</v>
      </c>
      <c r="G56" s="11">
        <v>-7.1499999999999994E-2</v>
      </c>
      <c r="H56" s="11">
        <v>-1.09E-2</v>
      </c>
      <c r="I56" s="11">
        <v>-3.3700000000000001E-2</v>
      </c>
      <c r="J56" s="11">
        <v>4.8999999999999998E-3</v>
      </c>
      <c r="K56" s="11">
        <v>-8.7499999999999994E-2</v>
      </c>
      <c r="L56" s="11">
        <v>-1.21E-2</v>
      </c>
      <c r="M56" s="11">
        <v>-4.2000000000000003E-2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0.5" customHeight="1" x14ac:dyDescent="0.25">
      <c r="A57" s="1"/>
      <c r="B57" s="11">
        <v>-1.7999999999999999E-2</v>
      </c>
      <c r="C57" s="11">
        <v>-2.53E-2</v>
      </c>
      <c r="D57" s="11">
        <v>-1.54E-2</v>
      </c>
      <c r="E57" s="11">
        <v>-3.2399999999999998E-2</v>
      </c>
      <c r="F57" s="11">
        <v>-1.9900000000000001E-2</v>
      </c>
      <c r="G57" s="11">
        <v>-3.61E-2</v>
      </c>
      <c r="H57" s="11">
        <v>-1.9400000000000001E-2</v>
      </c>
      <c r="I57" s="11">
        <v>-3.6700000000000003E-2</v>
      </c>
      <c r="J57" s="11">
        <v>-1.8599999999999998E-2</v>
      </c>
      <c r="K57" s="11">
        <v>-4.0500000000000001E-2</v>
      </c>
      <c r="L57" s="11">
        <v>-1.7899999999999999E-2</v>
      </c>
      <c r="M57" s="11">
        <v>-4.48E-2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0.5" customHeight="1" x14ac:dyDescent="0.25">
      <c r="A58" s="1" t="s">
        <v>25</v>
      </c>
      <c r="B58" s="11">
        <v>0.19350000000000001</v>
      </c>
      <c r="C58" s="11">
        <v>0.1045</v>
      </c>
      <c r="D58" s="11">
        <v>0.15759999999999999</v>
      </c>
      <c r="E58" s="11">
        <v>0.19009999999999999</v>
      </c>
      <c r="F58" s="11">
        <v>0.2349</v>
      </c>
      <c r="G58" s="11">
        <v>0.28560000000000002</v>
      </c>
      <c r="H58" s="11">
        <v>0.20749999999999999</v>
      </c>
      <c r="I58" s="11">
        <v>0.19850000000000001</v>
      </c>
      <c r="J58" s="11">
        <v>0.1646</v>
      </c>
      <c r="K58" s="11">
        <v>0.33300000000000002</v>
      </c>
      <c r="L58" s="11">
        <v>0.1341</v>
      </c>
      <c r="M58" s="11">
        <v>0.46700000000000003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0.5" customHeight="1" x14ac:dyDescent="0.25">
      <c r="A59" s="1"/>
      <c r="B59" s="11">
        <v>-2.2800000000000001E-2</v>
      </c>
      <c r="C59" s="11">
        <v>-3.6600000000000001E-2</v>
      </c>
      <c r="D59" s="11">
        <v>-2.06E-2</v>
      </c>
      <c r="E59" s="11">
        <v>-5.7299999999999997E-2</v>
      </c>
      <c r="F59" s="11">
        <v>-2.1299999999999999E-2</v>
      </c>
      <c r="G59" s="11">
        <v>-7.5700000000000003E-2</v>
      </c>
      <c r="H59" s="11">
        <v>-2.9499999999999998E-2</v>
      </c>
      <c r="I59" s="11">
        <v>-5.8500000000000003E-2</v>
      </c>
      <c r="J59" s="11">
        <v>-2.9000000000000001E-2</v>
      </c>
      <c r="K59" s="11">
        <v>-7.2300000000000003E-2</v>
      </c>
      <c r="L59" s="11">
        <v>-2.7400000000000001E-2</v>
      </c>
      <c r="M59" s="11">
        <v>-8.2799999999999999E-2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0.5" customHeight="1" x14ac:dyDescent="0.25">
      <c r="A60" s="1" t="s">
        <v>30</v>
      </c>
      <c r="B60" s="11">
        <v>-4.82E-2</v>
      </c>
      <c r="C60" s="11">
        <v>-4.1799999999999997E-2</v>
      </c>
      <c r="D60" s="11">
        <v>-5.33E-2</v>
      </c>
      <c r="E60" s="11">
        <v>-4.6100000000000002E-2</v>
      </c>
      <c r="F60" s="11">
        <v>-4.3999999999999997E-2</v>
      </c>
      <c r="G60" s="11">
        <v>-7.9699999999999993E-2</v>
      </c>
      <c r="H60" s="11">
        <v>-3.95E-2</v>
      </c>
      <c r="I60" s="11">
        <v>-6.4199999999999993E-2</v>
      </c>
      <c r="J60" s="11">
        <v>-4.7699999999999999E-2</v>
      </c>
      <c r="K60" s="11">
        <v>-5.3600000000000002E-2</v>
      </c>
      <c r="L60" s="11">
        <v>-1.14E-2</v>
      </c>
      <c r="M60" s="11">
        <v>-5.04E-2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0.5" customHeight="1" x14ac:dyDescent="0.25">
      <c r="A61" s="1"/>
      <c r="B61" s="11">
        <v>-6.4999999999999997E-3</v>
      </c>
      <c r="C61" s="11">
        <v>-1.1599999999999999E-2</v>
      </c>
      <c r="D61" s="11">
        <v>-6.1000000000000004E-3</v>
      </c>
      <c r="E61" s="11">
        <v>-1.5299999999999999E-2</v>
      </c>
      <c r="F61" s="11">
        <v>-6.1000000000000004E-3</v>
      </c>
      <c r="G61" s="11">
        <v>-1.72E-2</v>
      </c>
      <c r="H61" s="11">
        <v>-6.8999999999999999E-3</v>
      </c>
      <c r="I61" s="11">
        <v>-1.55E-2</v>
      </c>
      <c r="J61" s="11">
        <v>-8.0999999999999996E-3</v>
      </c>
      <c r="K61" s="11">
        <v>-1.24E-2</v>
      </c>
      <c r="L61" s="11">
        <v>-6.3E-3</v>
      </c>
      <c r="M61" s="11">
        <v>-1.3899999999999999E-2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0.5" customHeight="1" x14ac:dyDescent="0.25">
      <c r="A62" s="1" t="s">
        <v>31</v>
      </c>
      <c r="B62" s="11">
        <v>3.1600000000000003E-2</v>
      </c>
      <c r="C62" s="11">
        <v>0.21629999999999999</v>
      </c>
      <c r="D62" s="11">
        <v>-1.4500000000000001E-2</v>
      </c>
      <c r="E62" s="11">
        <v>0.30559999999999998</v>
      </c>
      <c r="F62" s="11">
        <v>6.6199999999999995E-2</v>
      </c>
      <c r="G62" s="11">
        <v>0.61829999999999996</v>
      </c>
      <c r="H62" s="11">
        <v>-0.1588</v>
      </c>
      <c r="I62" s="11">
        <v>0.60980000000000001</v>
      </c>
      <c r="J62" s="11">
        <v>8.2199999999999995E-2</v>
      </c>
      <c r="K62" s="11">
        <v>0.4758</v>
      </c>
      <c r="L62" s="11">
        <v>0.36959999999999998</v>
      </c>
      <c r="M62" s="11">
        <v>0.37180000000000002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0.5" customHeight="1" x14ac:dyDescent="0.25">
      <c r="A63" s="1"/>
      <c r="B63" s="11">
        <v>-0.15029999999999999</v>
      </c>
      <c r="C63" s="11">
        <v>-0.15559999999999999</v>
      </c>
      <c r="D63" s="11">
        <v>-0.14199999999999999</v>
      </c>
      <c r="E63" s="11">
        <v>-0.16259999999999999</v>
      </c>
      <c r="F63" s="11">
        <v>-0.14799999999999999</v>
      </c>
      <c r="G63" s="11">
        <v>-0.19539999999999999</v>
      </c>
      <c r="H63" s="11">
        <v>-0.1595</v>
      </c>
      <c r="I63" s="11">
        <v>-0.19769999999999999</v>
      </c>
      <c r="J63" s="11">
        <v>-0.16189999999999999</v>
      </c>
      <c r="K63" s="11">
        <v>-0.13900000000000001</v>
      </c>
      <c r="L63" s="11">
        <v>-0.1583</v>
      </c>
      <c r="M63" s="11">
        <v>-0.20669999999999999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0.5" customHeight="1" x14ac:dyDescent="0.25">
      <c r="A64" s="1" t="s">
        <v>32</v>
      </c>
      <c r="B64" s="11">
        <v>2.5999999999999999E-3</v>
      </c>
      <c r="C64" s="11">
        <v>6.9999999999999999E-4</v>
      </c>
      <c r="D64" s="11">
        <v>2.7000000000000001E-3</v>
      </c>
      <c r="E64" s="11">
        <v>2.0999999999999999E-3</v>
      </c>
      <c r="F64" s="11">
        <v>2.3999999999999998E-3</v>
      </c>
      <c r="G64" s="11">
        <v>3.2000000000000002E-3</v>
      </c>
      <c r="H64" s="11">
        <v>1.9E-3</v>
      </c>
      <c r="I64" s="11">
        <v>4.0000000000000001E-3</v>
      </c>
      <c r="J64" s="11">
        <v>8.9999999999999998E-4</v>
      </c>
      <c r="K64" s="11">
        <v>8.9999999999999998E-4</v>
      </c>
      <c r="L64" s="11">
        <v>8.9999999999999998E-4</v>
      </c>
      <c r="M64" s="11">
        <v>1.9E-3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0.5" customHeight="1" x14ac:dyDescent="0.25">
      <c r="A65" s="1"/>
      <c r="B65" s="11">
        <v>-8.0000000000000004E-4</v>
      </c>
      <c r="C65" s="11">
        <v>-8.9999999999999998E-4</v>
      </c>
      <c r="D65" s="11">
        <v>-6.9999999999999999E-4</v>
      </c>
      <c r="E65" s="11">
        <v>-8.9999999999999998E-4</v>
      </c>
      <c r="F65" s="11">
        <v>-8.0000000000000004E-4</v>
      </c>
      <c r="G65" s="11">
        <v>-1.1000000000000001E-3</v>
      </c>
      <c r="H65" s="11">
        <v>-8.0000000000000004E-4</v>
      </c>
      <c r="I65" s="11">
        <v>-1.1999999999999999E-3</v>
      </c>
      <c r="J65" s="11">
        <v>-8.9999999999999998E-4</v>
      </c>
      <c r="K65" s="11">
        <v>-8.0000000000000004E-4</v>
      </c>
      <c r="L65" s="11">
        <v>-8.0000000000000004E-4</v>
      </c>
      <c r="M65" s="11">
        <v>-1E-3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0.5" customHeight="1" x14ac:dyDescent="0.25">
      <c r="A66" s="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0.5" customHeight="1" x14ac:dyDescent="0.25">
      <c r="A67" s="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0.5" customHeight="1" x14ac:dyDescent="0.25">
      <c r="A68" s="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0.5" customHeight="1" x14ac:dyDescent="0.25">
      <c r="A69" s="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0.5" customHeight="1" x14ac:dyDescent="0.25">
      <c r="A70" s="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0.5" customHeight="1" x14ac:dyDescent="0.25">
      <c r="A71" s="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0.5" customHeight="1" x14ac:dyDescent="0.25">
      <c r="A72" s="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0.5" customHeight="1" x14ac:dyDescent="0.25">
      <c r="A73" s="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0.5" customHeight="1" x14ac:dyDescent="0.25">
      <c r="A74" s="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0.5" customHeight="1" x14ac:dyDescent="0.25">
      <c r="A75" s="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0.5" customHeight="1" x14ac:dyDescent="0.25">
      <c r="A76" s="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0.5" customHeight="1" x14ac:dyDescent="0.25">
      <c r="A77" s="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0.5" customHeight="1" x14ac:dyDescent="0.25">
      <c r="A78" s="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0.5" customHeight="1" x14ac:dyDescent="0.25">
      <c r="A79" s="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0.5" customHeight="1" x14ac:dyDescent="0.25">
      <c r="A80" s="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0.5" customHeight="1" x14ac:dyDescent="0.25">
      <c r="A81" s="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0.5" customHeight="1" x14ac:dyDescent="0.25">
      <c r="A82" s="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0.5" customHeight="1" x14ac:dyDescent="0.25">
      <c r="A83" s="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0.5" customHeight="1" x14ac:dyDescent="0.25">
      <c r="A84" s="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0.5" customHeight="1" x14ac:dyDescent="0.25">
      <c r="A85" s="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0.5" customHeight="1" x14ac:dyDescent="0.25">
      <c r="A86" s="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0.5" customHeight="1" x14ac:dyDescent="0.25">
      <c r="A87" s="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0.5" customHeight="1" x14ac:dyDescent="0.25">
      <c r="A88" s="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0.5" customHeight="1" x14ac:dyDescent="0.25">
      <c r="A89" s="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0.5" customHeight="1" x14ac:dyDescent="0.25">
      <c r="A90" s="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0.5" customHeight="1" x14ac:dyDescent="0.25">
      <c r="A91" s="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0.5" customHeight="1" x14ac:dyDescent="0.25">
      <c r="A92" s="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0.5" customHeight="1" x14ac:dyDescent="0.25">
      <c r="A93" s="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0.5" customHeight="1" x14ac:dyDescent="0.25">
      <c r="A94" s="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0.5" customHeight="1" x14ac:dyDescent="0.25">
      <c r="A95" s="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0.5" customHeight="1" x14ac:dyDescent="0.25">
      <c r="A96" s="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0.5" customHeight="1" x14ac:dyDescent="0.25">
      <c r="A97" s="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0.5" customHeight="1" x14ac:dyDescent="0.25">
      <c r="A98" s="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0.5" customHeight="1" x14ac:dyDescent="0.25">
      <c r="A99" s="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0.5" customHeight="1" x14ac:dyDescent="0.25">
      <c r="A100" s="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0.5" customHeight="1" x14ac:dyDescent="0.25">
      <c r="A101" s="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0.5" customHeight="1" x14ac:dyDescent="0.25">
      <c r="A102" s="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0.5" customHeight="1" x14ac:dyDescent="0.25">
      <c r="A103" s="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0.5" customHeight="1" x14ac:dyDescent="0.25">
      <c r="A104" s="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0.5" customHeight="1" x14ac:dyDescent="0.25">
      <c r="A105" s="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0.5" customHeight="1" x14ac:dyDescent="0.25">
      <c r="A106" s="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0.5" customHeight="1" x14ac:dyDescent="0.25">
      <c r="A107" s="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0.5" customHeight="1" x14ac:dyDescent="0.25">
      <c r="A108" s="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0.5" customHeight="1" x14ac:dyDescent="0.25">
      <c r="A109" s="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0.5" customHeight="1" x14ac:dyDescent="0.25">
      <c r="A110" s="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0.5" customHeight="1" x14ac:dyDescent="0.25">
      <c r="A111" s="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0.5" customHeight="1" x14ac:dyDescent="0.25">
      <c r="A112" s="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0.5" customHeight="1" x14ac:dyDescent="0.25">
      <c r="A113" s="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0.5" customHeight="1" x14ac:dyDescent="0.25">
      <c r="A114" s="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0.5" customHeight="1" x14ac:dyDescent="0.25">
      <c r="A115" s="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0.5" customHeight="1" x14ac:dyDescent="0.25">
      <c r="A116" s="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0.5" customHeight="1" x14ac:dyDescent="0.25">
      <c r="A117" s="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0.5" customHeight="1" x14ac:dyDescent="0.25">
      <c r="A118" s="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0.5" customHeight="1" x14ac:dyDescent="0.25">
      <c r="A119" s="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0.5" customHeight="1" x14ac:dyDescent="0.25">
      <c r="A120" s="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0.5" customHeight="1" x14ac:dyDescent="0.25">
      <c r="A121" s="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0.5" customHeight="1" x14ac:dyDescent="0.25">
      <c r="A122" s="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0.5" customHeight="1" x14ac:dyDescent="0.25">
      <c r="A123" s="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0.5" customHeight="1" x14ac:dyDescent="0.25">
      <c r="A124" s="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0.5" customHeight="1" x14ac:dyDescent="0.25">
      <c r="A125" s="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0.5" customHeight="1" x14ac:dyDescent="0.25">
      <c r="A126" s="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0.5" customHeight="1" x14ac:dyDescent="0.25">
      <c r="A127" s="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0.5" customHeight="1" x14ac:dyDescent="0.25">
      <c r="A128" s="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0.5" customHeight="1" x14ac:dyDescent="0.25">
      <c r="A129" s="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0.5" customHeight="1" x14ac:dyDescent="0.25">
      <c r="A130" s="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0.5" customHeight="1" x14ac:dyDescent="0.25">
      <c r="A131" s="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0.5" customHeight="1" x14ac:dyDescent="0.25">
      <c r="A132" s="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0.5" customHeight="1" x14ac:dyDescent="0.25">
      <c r="A133" s="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0.5" customHeight="1" x14ac:dyDescent="0.25">
      <c r="A134" s="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0.5" customHeight="1" x14ac:dyDescent="0.25">
      <c r="A135" s="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0.5" customHeight="1" x14ac:dyDescent="0.25">
      <c r="A136" s="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0.5" customHeight="1" x14ac:dyDescent="0.25">
      <c r="A137" s="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0.5" customHeight="1" x14ac:dyDescent="0.25">
      <c r="A138" s="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0.5" customHeight="1" x14ac:dyDescent="0.25">
      <c r="A139" s="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0.5" customHeight="1" x14ac:dyDescent="0.25">
      <c r="A140" s="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0.5" customHeight="1" x14ac:dyDescent="0.25">
      <c r="A141" s="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0.5" customHeight="1" x14ac:dyDescent="0.25">
      <c r="A142" s="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0.5" customHeight="1" x14ac:dyDescent="0.25">
      <c r="A143" s="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0.5" customHeight="1" x14ac:dyDescent="0.25">
      <c r="A144" s="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0.5" customHeight="1" x14ac:dyDescent="0.25">
      <c r="A145" s="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0.5" customHeight="1" x14ac:dyDescent="0.25">
      <c r="A146" s="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0.5" customHeight="1" x14ac:dyDescent="0.25">
      <c r="A147" s="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0.5" customHeight="1" x14ac:dyDescent="0.25">
      <c r="A148" s="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0.5" customHeight="1" x14ac:dyDescent="0.25">
      <c r="A149" s="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0.5" customHeight="1" x14ac:dyDescent="0.25">
      <c r="A150" s="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0.5" customHeight="1" x14ac:dyDescent="0.25">
      <c r="A151" s="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0.5" customHeight="1" x14ac:dyDescent="0.25">
      <c r="A152" s="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0.5" customHeight="1" x14ac:dyDescent="0.25">
      <c r="A153" s="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0.5" customHeight="1" x14ac:dyDescent="0.25">
      <c r="A154" s="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0.5" customHeight="1" x14ac:dyDescent="0.25">
      <c r="A155" s="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0.5" customHeight="1" x14ac:dyDescent="0.25">
      <c r="A156" s="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0.5" customHeight="1" x14ac:dyDescent="0.25">
      <c r="A157" s="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0.5" customHeight="1" x14ac:dyDescent="0.25">
      <c r="A158" s="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0.5" customHeight="1" x14ac:dyDescent="0.25">
      <c r="A159" s="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0.5" customHeight="1" x14ac:dyDescent="0.25">
      <c r="A160" s="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0.5" customHeight="1" x14ac:dyDescent="0.25">
      <c r="A161" s="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0.5" customHeight="1" x14ac:dyDescent="0.25">
      <c r="A162" s="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0.5" customHeight="1" x14ac:dyDescent="0.25">
      <c r="A163" s="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0.5" customHeight="1" x14ac:dyDescent="0.25">
      <c r="A164" s="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0.5" customHeight="1" x14ac:dyDescent="0.25">
      <c r="A165" s="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0.5" customHeight="1" x14ac:dyDescent="0.25">
      <c r="A166" s="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0.5" customHeight="1" x14ac:dyDescent="0.25">
      <c r="A167" s="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0.5" customHeight="1" x14ac:dyDescent="0.25">
      <c r="A168" s="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0.5" customHeight="1" x14ac:dyDescent="0.25">
      <c r="A169" s="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0.5" customHeight="1" x14ac:dyDescent="0.25">
      <c r="A170" s="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0.5" customHeight="1" x14ac:dyDescent="0.25">
      <c r="A171" s="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0.5" customHeight="1" x14ac:dyDescent="0.25">
      <c r="A172" s="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0.5" customHeight="1" x14ac:dyDescent="0.25">
      <c r="A173" s="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0.5" customHeight="1" x14ac:dyDescent="0.25">
      <c r="A174" s="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0.5" customHeight="1" x14ac:dyDescent="0.25">
      <c r="A175" s="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0.5" customHeight="1" x14ac:dyDescent="0.25">
      <c r="A176" s="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0.5" customHeight="1" x14ac:dyDescent="0.25">
      <c r="A177" s="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0.5" customHeight="1" x14ac:dyDescent="0.25">
      <c r="A178" s="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0.5" customHeight="1" x14ac:dyDescent="0.25">
      <c r="A179" s="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0.5" customHeight="1" x14ac:dyDescent="0.25">
      <c r="A180" s="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0.5" customHeight="1" x14ac:dyDescent="0.25">
      <c r="A181" s="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0.5" customHeight="1" x14ac:dyDescent="0.25">
      <c r="A182" s="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0.5" customHeight="1" x14ac:dyDescent="0.25">
      <c r="A183" s="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0.5" customHeight="1" x14ac:dyDescent="0.25">
      <c r="A184" s="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0.5" customHeight="1" x14ac:dyDescent="0.25">
      <c r="A185" s="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0.5" customHeight="1" x14ac:dyDescent="0.25">
      <c r="A186" s="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0.5" customHeight="1" x14ac:dyDescent="0.25">
      <c r="A187" s="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0.5" customHeight="1" x14ac:dyDescent="0.25">
      <c r="A188" s="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0.5" customHeight="1" x14ac:dyDescent="0.25">
      <c r="A189" s="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0.5" customHeight="1" x14ac:dyDescent="0.25">
      <c r="A190" s="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0.5" customHeight="1" x14ac:dyDescent="0.25">
      <c r="A191" s="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0.5" customHeight="1" x14ac:dyDescent="0.25">
      <c r="A192" s="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0.5" customHeight="1" x14ac:dyDescent="0.25">
      <c r="A193" s="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0.5" customHeight="1" x14ac:dyDescent="0.25">
      <c r="A194" s="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0.5" customHeight="1" x14ac:dyDescent="0.25">
      <c r="A195" s="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0.5" customHeight="1" x14ac:dyDescent="0.25">
      <c r="A196" s="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0.5" customHeight="1" x14ac:dyDescent="0.25">
      <c r="A197" s="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0.5" customHeight="1" x14ac:dyDescent="0.25">
      <c r="A198" s="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0.5" customHeight="1" x14ac:dyDescent="0.25">
      <c r="A199" s="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0.5" customHeight="1" x14ac:dyDescent="0.25">
      <c r="A200" s="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0.5" customHeight="1" x14ac:dyDescent="0.25">
      <c r="A201" s="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0.5" customHeight="1" x14ac:dyDescent="0.25">
      <c r="A202" s="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0.5" customHeight="1" x14ac:dyDescent="0.25">
      <c r="A203" s="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0.5" customHeight="1" x14ac:dyDescent="0.25">
      <c r="A204" s="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0.5" customHeight="1" x14ac:dyDescent="0.25">
      <c r="A205" s="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0.5" customHeight="1" x14ac:dyDescent="0.25">
      <c r="A206" s="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0.5" customHeight="1" x14ac:dyDescent="0.25">
      <c r="A207" s="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0.5" customHeight="1" x14ac:dyDescent="0.25">
      <c r="A208" s="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0.5" customHeight="1" x14ac:dyDescent="0.25">
      <c r="A209" s="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0.5" customHeight="1" x14ac:dyDescent="0.25">
      <c r="A210" s="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0.5" customHeight="1" x14ac:dyDescent="0.25">
      <c r="A211" s="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0.5" customHeight="1" x14ac:dyDescent="0.25">
      <c r="A212" s="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0.5" customHeight="1" x14ac:dyDescent="0.25">
      <c r="A213" s="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0.5" customHeight="1" x14ac:dyDescent="0.25">
      <c r="A214" s="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0.5" customHeight="1" x14ac:dyDescent="0.25">
      <c r="A215" s="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0.5" customHeight="1" x14ac:dyDescent="0.25">
      <c r="A216" s="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0.5" customHeight="1" x14ac:dyDescent="0.25">
      <c r="A217" s="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0.5" customHeight="1" x14ac:dyDescent="0.25">
      <c r="A218" s="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0.5" customHeight="1" x14ac:dyDescent="0.25">
      <c r="A219" s="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0.5" customHeight="1" x14ac:dyDescent="0.25">
      <c r="A220" s="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0.5" customHeight="1" x14ac:dyDescent="0.25">
      <c r="A221" s="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0.5" customHeight="1" x14ac:dyDescent="0.25">
      <c r="A222" s="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0.5" customHeight="1" x14ac:dyDescent="0.25">
      <c r="A223" s="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0.5" customHeight="1" x14ac:dyDescent="0.25">
      <c r="A224" s="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0.5" customHeight="1" x14ac:dyDescent="0.25">
      <c r="A225" s="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0.5" customHeight="1" x14ac:dyDescent="0.25">
      <c r="A226" s="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0.5" customHeight="1" x14ac:dyDescent="0.25">
      <c r="A227" s="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0.5" customHeight="1" x14ac:dyDescent="0.25">
      <c r="A228" s="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0.5" customHeight="1" x14ac:dyDescent="0.25">
      <c r="A229" s="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0.5" customHeight="1" x14ac:dyDescent="0.25">
      <c r="A230" s="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0.5" customHeight="1" x14ac:dyDescent="0.25">
      <c r="A231" s="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0.5" customHeight="1" x14ac:dyDescent="0.25">
      <c r="A232" s="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0.5" customHeight="1" x14ac:dyDescent="0.25">
      <c r="A233" s="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0.5" customHeight="1" x14ac:dyDescent="0.25">
      <c r="A234" s="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0.5" customHeight="1" x14ac:dyDescent="0.25">
      <c r="A235" s="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0.5" customHeight="1" x14ac:dyDescent="0.25">
      <c r="A236" s="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0.5" customHeight="1" x14ac:dyDescent="0.25">
      <c r="A237" s="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0.5" customHeight="1" x14ac:dyDescent="0.25">
      <c r="A238" s="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0.5" customHeight="1" x14ac:dyDescent="0.25">
      <c r="A239" s="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0.5" customHeight="1" x14ac:dyDescent="0.25">
      <c r="A240" s="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0.5" customHeight="1" x14ac:dyDescent="0.25">
      <c r="A241" s="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0.5" customHeight="1" x14ac:dyDescent="0.25">
      <c r="A242" s="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0.5" customHeight="1" x14ac:dyDescent="0.25">
      <c r="A243" s="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0.5" customHeight="1" x14ac:dyDescent="0.25">
      <c r="A244" s="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0.5" customHeight="1" x14ac:dyDescent="0.25">
      <c r="A245" s="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0.5" customHeight="1" x14ac:dyDescent="0.25">
      <c r="A246" s="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0.5" customHeight="1" x14ac:dyDescent="0.25">
      <c r="A247" s="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0.5" customHeight="1" x14ac:dyDescent="0.25">
      <c r="A248" s="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0.5" customHeight="1" x14ac:dyDescent="0.25">
      <c r="A249" s="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0.5" customHeight="1" x14ac:dyDescent="0.25">
      <c r="A250" s="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0.5" customHeight="1" x14ac:dyDescent="0.25">
      <c r="A251" s="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0.5" customHeight="1" x14ac:dyDescent="0.25">
      <c r="A252" s="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0.5" customHeight="1" x14ac:dyDescent="0.25">
      <c r="A253" s="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0.5" customHeight="1" x14ac:dyDescent="0.25">
      <c r="A254" s="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0.5" customHeight="1" x14ac:dyDescent="0.25">
      <c r="A255" s="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0.5" customHeight="1" x14ac:dyDescent="0.25">
      <c r="A256" s="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0.5" customHeight="1" x14ac:dyDescent="0.25">
      <c r="A257" s="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0.5" customHeight="1" x14ac:dyDescent="0.25">
      <c r="A258" s="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0.5" customHeight="1" x14ac:dyDescent="0.25">
      <c r="A259" s="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0.5" customHeight="1" x14ac:dyDescent="0.25">
      <c r="A260" s="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0.5" customHeight="1" x14ac:dyDescent="0.25">
      <c r="A261" s="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0.5" customHeight="1" x14ac:dyDescent="0.25">
      <c r="A262" s="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0.5" customHeight="1" x14ac:dyDescent="0.25">
      <c r="A263" s="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0.5" customHeight="1" x14ac:dyDescent="0.25">
      <c r="A264" s="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0.5" customHeight="1" x14ac:dyDescent="0.25">
      <c r="A265" s="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0.5" customHeight="1" x14ac:dyDescent="0.25">
      <c r="A266" s="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0.5" customHeight="1" x14ac:dyDescent="0.25">
      <c r="A267" s="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0.5" customHeight="1" x14ac:dyDescent="0.25">
      <c r="A268" s="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0.5" customHeight="1" x14ac:dyDescent="0.25">
      <c r="A269" s="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0.5" customHeight="1" x14ac:dyDescent="0.25">
      <c r="A270" s="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0.5" customHeight="1" x14ac:dyDescent="0.25">
      <c r="A271" s="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0.5" customHeight="1" x14ac:dyDescent="0.25">
      <c r="A272" s="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0.5" customHeight="1" x14ac:dyDescent="0.25">
      <c r="A273" s="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0.5" customHeight="1" x14ac:dyDescent="0.25">
      <c r="A274" s="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0.5" customHeight="1" x14ac:dyDescent="0.25">
      <c r="A275" s="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0.5" customHeight="1" x14ac:dyDescent="0.25">
      <c r="A276" s="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0.5" customHeight="1" x14ac:dyDescent="0.25">
      <c r="A277" s="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0.5" customHeight="1" x14ac:dyDescent="0.25">
      <c r="A278" s="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0.5" customHeight="1" x14ac:dyDescent="0.25">
      <c r="A279" s="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0.5" customHeight="1" x14ac:dyDescent="0.25">
      <c r="A280" s="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0.5" customHeight="1" x14ac:dyDescent="0.25">
      <c r="A281" s="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0.5" customHeight="1" x14ac:dyDescent="0.25">
      <c r="A282" s="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0.5" customHeight="1" x14ac:dyDescent="0.25">
      <c r="A283" s="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0.5" customHeight="1" x14ac:dyDescent="0.25">
      <c r="A284" s="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0.5" customHeight="1" x14ac:dyDescent="0.25">
      <c r="A285" s="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0.5" customHeight="1" x14ac:dyDescent="0.25">
      <c r="A286" s="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0.5" customHeight="1" x14ac:dyDescent="0.25">
      <c r="A287" s="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0.5" customHeight="1" x14ac:dyDescent="0.25">
      <c r="A288" s="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0.5" customHeight="1" x14ac:dyDescent="0.25">
      <c r="A289" s="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0.5" customHeight="1" x14ac:dyDescent="0.25">
      <c r="A290" s="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0.5" customHeight="1" x14ac:dyDescent="0.25">
      <c r="A291" s="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0.5" customHeight="1" x14ac:dyDescent="0.25">
      <c r="A292" s="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0.5" customHeight="1" x14ac:dyDescent="0.25">
      <c r="A293" s="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0.5" customHeight="1" x14ac:dyDescent="0.25">
      <c r="A294" s="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0.5" customHeight="1" x14ac:dyDescent="0.25">
      <c r="A295" s="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0.5" customHeight="1" x14ac:dyDescent="0.25">
      <c r="A296" s="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0.5" customHeight="1" x14ac:dyDescent="0.25">
      <c r="A297" s="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0.5" customHeight="1" x14ac:dyDescent="0.25">
      <c r="A298" s="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0.5" customHeight="1" x14ac:dyDescent="0.25">
      <c r="A299" s="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0.5" customHeight="1" x14ac:dyDescent="0.25">
      <c r="A300" s="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0.5" customHeight="1" x14ac:dyDescent="0.25">
      <c r="A301" s="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0.5" customHeight="1" x14ac:dyDescent="0.25">
      <c r="A302" s="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0.5" customHeight="1" x14ac:dyDescent="0.25">
      <c r="A303" s="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0.5" customHeight="1" x14ac:dyDescent="0.25">
      <c r="A304" s="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0.5" customHeight="1" x14ac:dyDescent="0.25">
      <c r="A305" s="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0.5" customHeight="1" x14ac:dyDescent="0.25">
      <c r="A306" s="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0.5" customHeight="1" x14ac:dyDescent="0.25">
      <c r="A307" s="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0.5" customHeight="1" x14ac:dyDescent="0.25">
      <c r="A308" s="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0.5" customHeight="1" x14ac:dyDescent="0.25">
      <c r="A309" s="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0.5" customHeight="1" x14ac:dyDescent="0.25">
      <c r="A310" s="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0.5" customHeight="1" x14ac:dyDescent="0.25">
      <c r="A311" s="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0.5" customHeight="1" x14ac:dyDescent="0.25">
      <c r="A312" s="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0.5" customHeight="1" x14ac:dyDescent="0.25">
      <c r="A313" s="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0.5" customHeight="1" x14ac:dyDescent="0.25">
      <c r="A314" s="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0.5" customHeight="1" x14ac:dyDescent="0.25">
      <c r="A315" s="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0.5" customHeight="1" x14ac:dyDescent="0.25">
      <c r="A316" s="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0.5" customHeight="1" x14ac:dyDescent="0.25">
      <c r="A317" s="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0.5" customHeight="1" x14ac:dyDescent="0.25">
      <c r="A318" s="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0.5" customHeight="1" x14ac:dyDescent="0.25">
      <c r="A319" s="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0.5" customHeight="1" x14ac:dyDescent="0.25">
      <c r="A320" s="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0.5" customHeight="1" x14ac:dyDescent="0.25">
      <c r="A321" s="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0.5" customHeight="1" x14ac:dyDescent="0.25">
      <c r="A322" s="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0.5" customHeight="1" x14ac:dyDescent="0.25">
      <c r="A323" s="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0.5" customHeight="1" x14ac:dyDescent="0.25">
      <c r="A324" s="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0.5" customHeight="1" x14ac:dyDescent="0.25">
      <c r="A325" s="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0.5" customHeight="1" x14ac:dyDescent="0.25">
      <c r="A326" s="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0.5" customHeight="1" x14ac:dyDescent="0.25">
      <c r="A327" s="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0.5" customHeight="1" x14ac:dyDescent="0.25">
      <c r="A328" s="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0.5" customHeight="1" x14ac:dyDescent="0.25">
      <c r="A329" s="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0.5" customHeight="1" x14ac:dyDescent="0.25">
      <c r="A330" s="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0.5" customHeight="1" x14ac:dyDescent="0.25">
      <c r="A331" s="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0.5" customHeight="1" x14ac:dyDescent="0.25">
      <c r="A332" s="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0.5" customHeight="1" x14ac:dyDescent="0.25">
      <c r="A333" s="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0.5" customHeight="1" x14ac:dyDescent="0.25">
      <c r="A334" s="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0.5" customHeight="1" x14ac:dyDescent="0.25">
      <c r="A335" s="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0.5" customHeight="1" x14ac:dyDescent="0.25">
      <c r="A336" s="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0.5" customHeight="1" x14ac:dyDescent="0.25">
      <c r="A337" s="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0.5" customHeight="1" x14ac:dyDescent="0.25">
      <c r="A338" s="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0.5" customHeight="1" x14ac:dyDescent="0.25">
      <c r="A339" s="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0.5" customHeight="1" x14ac:dyDescent="0.25">
      <c r="A340" s="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0.5" customHeight="1" x14ac:dyDescent="0.25">
      <c r="A341" s="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0.5" customHeight="1" x14ac:dyDescent="0.25">
      <c r="A342" s="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0.5" customHeight="1" x14ac:dyDescent="0.25">
      <c r="A343" s="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0.5" customHeight="1" x14ac:dyDescent="0.25">
      <c r="A344" s="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0.5" customHeight="1" x14ac:dyDescent="0.25">
      <c r="A345" s="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0.5" customHeight="1" x14ac:dyDescent="0.25">
      <c r="A346" s="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0.5" customHeight="1" x14ac:dyDescent="0.25">
      <c r="A347" s="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0.5" customHeight="1" x14ac:dyDescent="0.25">
      <c r="A348" s="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0.5" customHeight="1" x14ac:dyDescent="0.25">
      <c r="A349" s="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0.5" customHeight="1" x14ac:dyDescent="0.25">
      <c r="A350" s="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0.5" customHeight="1" x14ac:dyDescent="0.25">
      <c r="A351" s="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0.5" customHeight="1" x14ac:dyDescent="0.25">
      <c r="A352" s="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0.5" customHeight="1" x14ac:dyDescent="0.25">
      <c r="A353" s="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0.5" customHeight="1" x14ac:dyDescent="0.25">
      <c r="A354" s="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0.5" customHeight="1" x14ac:dyDescent="0.25">
      <c r="A355" s="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0.5" customHeight="1" x14ac:dyDescent="0.25">
      <c r="A356" s="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0.5" customHeight="1" x14ac:dyDescent="0.25">
      <c r="A357" s="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0.5" customHeight="1" x14ac:dyDescent="0.25">
      <c r="A358" s="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0.5" customHeight="1" x14ac:dyDescent="0.25">
      <c r="A359" s="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0.5" customHeight="1" x14ac:dyDescent="0.25">
      <c r="A360" s="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0.5" customHeight="1" x14ac:dyDescent="0.25">
      <c r="A361" s="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0.5" customHeight="1" x14ac:dyDescent="0.25">
      <c r="A362" s="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0.5" customHeight="1" x14ac:dyDescent="0.25">
      <c r="A363" s="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0.5" customHeight="1" x14ac:dyDescent="0.25">
      <c r="A364" s="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0.5" customHeight="1" x14ac:dyDescent="0.25">
      <c r="A365" s="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0.5" customHeight="1" x14ac:dyDescent="0.25">
      <c r="A366" s="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0.5" customHeight="1" x14ac:dyDescent="0.25">
      <c r="A367" s="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0.5" customHeight="1" x14ac:dyDescent="0.25">
      <c r="A368" s="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0.5" customHeight="1" x14ac:dyDescent="0.25">
      <c r="A369" s="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0.5" customHeight="1" x14ac:dyDescent="0.25">
      <c r="A370" s="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0.5" customHeight="1" x14ac:dyDescent="0.25">
      <c r="A371" s="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0.5" customHeight="1" x14ac:dyDescent="0.25">
      <c r="A372" s="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0.5" customHeight="1" x14ac:dyDescent="0.25">
      <c r="A373" s="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0.5" customHeight="1" x14ac:dyDescent="0.25">
      <c r="A374" s="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0.5" customHeight="1" x14ac:dyDescent="0.25">
      <c r="A375" s="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0.5" customHeight="1" x14ac:dyDescent="0.25">
      <c r="A376" s="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0.5" customHeight="1" x14ac:dyDescent="0.25">
      <c r="A377" s="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0.5" customHeight="1" x14ac:dyDescent="0.25">
      <c r="A378" s="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0.5" customHeight="1" x14ac:dyDescent="0.25">
      <c r="A379" s="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0.5" customHeight="1" x14ac:dyDescent="0.25">
      <c r="A380" s="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0.5" customHeight="1" x14ac:dyDescent="0.25">
      <c r="A381" s="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0.5" customHeight="1" x14ac:dyDescent="0.25">
      <c r="A382" s="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0.5" customHeight="1" x14ac:dyDescent="0.25">
      <c r="A383" s="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0.5" customHeight="1" x14ac:dyDescent="0.25">
      <c r="A384" s="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0.5" customHeight="1" x14ac:dyDescent="0.25">
      <c r="A385" s="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0.5" customHeight="1" x14ac:dyDescent="0.25">
      <c r="A386" s="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0.5" customHeight="1" x14ac:dyDescent="0.25">
      <c r="A387" s="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0.5" customHeight="1" x14ac:dyDescent="0.25">
      <c r="A388" s="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0.5" customHeight="1" x14ac:dyDescent="0.25">
      <c r="A389" s="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0.5" customHeight="1" x14ac:dyDescent="0.25">
      <c r="A390" s="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0.5" customHeight="1" x14ac:dyDescent="0.25">
      <c r="A391" s="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0.5" customHeight="1" x14ac:dyDescent="0.25">
      <c r="A392" s="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0.5" customHeight="1" x14ac:dyDescent="0.25">
      <c r="A393" s="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0.5" customHeight="1" x14ac:dyDescent="0.25">
      <c r="A394" s="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0.5" customHeight="1" x14ac:dyDescent="0.25">
      <c r="A395" s="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0.5" customHeight="1" x14ac:dyDescent="0.25">
      <c r="A396" s="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0.5" customHeight="1" x14ac:dyDescent="0.25">
      <c r="A397" s="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0.5" customHeight="1" x14ac:dyDescent="0.25">
      <c r="A398" s="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0.5" customHeight="1" x14ac:dyDescent="0.25">
      <c r="A399" s="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0.5" customHeight="1" x14ac:dyDescent="0.25">
      <c r="A400" s="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0.5" customHeight="1" x14ac:dyDescent="0.25">
      <c r="A401" s="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0.5" customHeight="1" x14ac:dyDescent="0.25">
      <c r="A402" s="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0.5" customHeight="1" x14ac:dyDescent="0.25">
      <c r="A403" s="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0.5" customHeight="1" x14ac:dyDescent="0.25">
      <c r="A404" s="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0.5" customHeight="1" x14ac:dyDescent="0.25">
      <c r="A405" s="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0.5" customHeight="1" x14ac:dyDescent="0.25">
      <c r="A406" s="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0.5" customHeight="1" x14ac:dyDescent="0.25">
      <c r="A407" s="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0.5" customHeight="1" x14ac:dyDescent="0.25">
      <c r="A408" s="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0.5" customHeight="1" x14ac:dyDescent="0.25">
      <c r="A409" s="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0.5" customHeight="1" x14ac:dyDescent="0.25">
      <c r="A410" s="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0.5" customHeight="1" x14ac:dyDescent="0.25">
      <c r="A411" s="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0.5" customHeight="1" x14ac:dyDescent="0.25">
      <c r="A412" s="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0.5" customHeight="1" x14ac:dyDescent="0.25">
      <c r="A413" s="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0.5" customHeight="1" x14ac:dyDescent="0.25">
      <c r="A414" s="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0.5" customHeight="1" x14ac:dyDescent="0.25">
      <c r="A415" s="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0.5" customHeight="1" x14ac:dyDescent="0.25">
      <c r="A416" s="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0.5" customHeight="1" x14ac:dyDescent="0.25">
      <c r="A417" s="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0.5" customHeight="1" x14ac:dyDescent="0.25">
      <c r="A418" s="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0.5" customHeight="1" x14ac:dyDescent="0.25">
      <c r="A419" s="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0.5" customHeight="1" x14ac:dyDescent="0.25">
      <c r="A420" s="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0.5" customHeight="1" x14ac:dyDescent="0.25">
      <c r="A421" s="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0.5" customHeight="1" x14ac:dyDescent="0.25">
      <c r="A422" s="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0.5" customHeight="1" x14ac:dyDescent="0.25">
      <c r="A423" s="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0.5" customHeight="1" x14ac:dyDescent="0.25">
      <c r="A424" s="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0.5" customHeight="1" x14ac:dyDescent="0.25">
      <c r="A425" s="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0.5" customHeight="1" x14ac:dyDescent="0.25">
      <c r="A426" s="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0.5" customHeight="1" x14ac:dyDescent="0.25">
      <c r="A427" s="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0.5" customHeight="1" x14ac:dyDescent="0.25">
      <c r="A428" s="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0.5" customHeight="1" x14ac:dyDescent="0.25">
      <c r="A429" s="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0.5" customHeight="1" x14ac:dyDescent="0.25">
      <c r="A430" s="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0.5" customHeight="1" x14ac:dyDescent="0.25">
      <c r="A431" s="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0.5" customHeight="1" x14ac:dyDescent="0.25">
      <c r="A432" s="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0.5" customHeight="1" x14ac:dyDescent="0.25">
      <c r="A433" s="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0.5" customHeight="1" x14ac:dyDescent="0.25">
      <c r="A434" s="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0.5" customHeight="1" x14ac:dyDescent="0.25">
      <c r="A435" s="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0.5" customHeight="1" x14ac:dyDescent="0.25">
      <c r="A436" s="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0.5" customHeight="1" x14ac:dyDescent="0.25">
      <c r="A437" s="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0.5" customHeight="1" x14ac:dyDescent="0.25">
      <c r="A438" s="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0.5" customHeight="1" x14ac:dyDescent="0.25">
      <c r="A439" s="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0.5" customHeight="1" x14ac:dyDescent="0.25">
      <c r="A440" s="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0.5" customHeight="1" x14ac:dyDescent="0.25">
      <c r="A441" s="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0.5" customHeight="1" x14ac:dyDescent="0.25">
      <c r="A442" s="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0.5" customHeight="1" x14ac:dyDescent="0.25">
      <c r="A443" s="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0.5" customHeight="1" x14ac:dyDescent="0.25">
      <c r="A444" s="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0.5" customHeight="1" x14ac:dyDescent="0.25">
      <c r="A445" s="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0.5" customHeight="1" x14ac:dyDescent="0.25">
      <c r="A446" s="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0.5" customHeight="1" x14ac:dyDescent="0.25">
      <c r="A447" s="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0.5" customHeight="1" x14ac:dyDescent="0.25">
      <c r="A448" s="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0.5" customHeight="1" x14ac:dyDescent="0.25">
      <c r="A449" s="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0.5" customHeight="1" x14ac:dyDescent="0.25">
      <c r="A450" s="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0.5" customHeight="1" x14ac:dyDescent="0.25">
      <c r="A451" s="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0.5" customHeight="1" x14ac:dyDescent="0.25">
      <c r="A452" s="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0.5" customHeight="1" x14ac:dyDescent="0.25">
      <c r="A453" s="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0.5" customHeight="1" x14ac:dyDescent="0.25">
      <c r="A454" s="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0.5" customHeight="1" x14ac:dyDescent="0.25">
      <c r="A455" s="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0.5" customHeight="1" x14ac:dyDescent="0.25">
      <c r="A456" s="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0.5" customHeight="1" x14ac:dyDescent="0.25">
      <c r="A457" s="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0.5" customHeight="1" x14ac:dyDescent="0.25">
      <c r="A458" s="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0.5" customHeight="1" x14ac:dyDescent="0.25">
      <c r="A459" s="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0.5" customHeight="1" x14ac:dyDescent="0.25">
      <c r="A460" s="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0.5" customHeight="1" x14ac:dyDescent="0.25">
      <c r="A461" s="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0.5" customHeight="1" x14ac:dyDescent="0.25">
      <c r="A462" s="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0.5" customHeight="1" x14ac:dyDescent="0.25">
      <c r="A463" s="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0.5" customHeight="1" x14ac:dyDescent="0.25">
      <c r="A464" s="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0.5" customHeight="1" x14ac:dyDescent="0.25">
      <c r="A465" s="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0.5" customHeight="1" x14ac:dyDescent="0.25">
      <c r="A466" s="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0.5" customHeight="1" x14ac:dyDescent="0.25">
      <c r="A467" s="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0.5" customHeight="1" x14ac:dyDescent="0.25">
      <c r="A468" s="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0.5" customHeight="1" x14ac:dyDescent="0.25">
      <c r="A469" s="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0.5" customHeight="1" x14ac:dyDescent="0.25">
      <c r="A470" s="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0.5" customHeight="1" x14ac:dyDescent="0.25">
      <c r="A471" s="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0.5" customHeight="1" x14ac:dyDescent="0.25">
      <c r="A472" s="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0.5" customHeight="1" x14ac:dyDescent="0.25">
      <c r="A473" s="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0.5" customHeight="1" x14ac:dyDescent="0.25">
      <c r="A474" s="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0.5" customHeight="1" x14ac:dyDescent="0.25">
      <c r="A475" s="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0.5" customHeight="1" x14ac:dyDescent="0.25">
      <c r="A476" s="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0.5" customHeight="1" x14ac:dyDescent="0.25">
      <c r="A477" s="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0.5" customHeight="1" x14ac:dyDescent="0.25">
      <c r="A478" s="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0.5" customHeight="1" x14ac:dyDescent="0.25">
      <c r="A479" s="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0.5" customHeight="1" x14ac:dyDescent="0.25">
      <c r="A480" s="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0.5" customHeight="1" x14ac:dyDescent="0.25">
      <c r="A481" s="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0.5" customHeight="1" x14ac:dyDescent="0.25">
      <c r="A482" s="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0.5" customHeight="1" x14ac:dyDescent="0.25">
      <c r="A483" s="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0.5" customHeight="1" x14ac:dyDescent="0.25">
      <c r="A484" s="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0.5" customHeight="1" x14ac:dyDescent="0.25">
      <c r="A485" s="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0.5" customHeight="1" x14ac:dyDescent="0.25">
      <c r="A486" s="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0.5" customHeight="1" x14ac:dyDescent="0.25">
      <c r="A487" s="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0.5" customHeight="1" x14ac:dyDescent="0.25">
      <c r="A488" s="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0.5" customHeight="1" x14ac:dyDescent="0.25">
      <c r="A489" s="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0.5" customHeight="1" x14ac:dyDescent="0.25">
      <c r="A490" s="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0.5" customHeight="1" x14ac:dyDescent="0.25">
      <c r="A491" s="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0.5" customHeight="1" x14ac:dyDescent="0.25">
      <c r="A492" s="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0.5" customHeight="1" x14ac:dyDescent="0.25">
      <c r="A493" s="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0.5" customHeight="1" x14ac:dyDescent="0.25">
      <c r="A494" s="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0.5" customHeight="1" x14ac:dyDescent="0.25">
      <c r="A495" s="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0.5" customHeight="1" x14ac:dyDescent="0.25">
      <c r="A496" s="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0.5" customHeight="1" x14ac:dyDescent="0.25">
      <c r="A497" s="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0.5" customHeight="1" x14ac:dyDescent="0.25">
      <c r="A498" s="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0.5" customHeight="1" x14ac:dyDescent="0.25">
      <c r="A499" s="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0.5" customHeight="1" x14ac:dyDescent="0.25">
      <c r="A500" s="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0.5" customHeight="1" x14ac:dyDescent="0.25">
      <c r="A501" s="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0.5" customHeight="1" x14ac:dyDescent="0.25">
      <c r="A502" s="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0.5" customHeight="1" x14ac:dyDescent="0.25">
      <c r="A503" s="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0.5" customHeight="1" x14ac:dyDescent="0.25">
      <c r="A504" s="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0.5" customHeight="1" x14ac:dyDescent="0.25">
      <c r="A505" s="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0.5" customHeight="1" x14ac:dyDescent="0.25">
      <c r="A506" s="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0.5" customHeight="1" x14ac:dyDescent="0.25">
      <c r="A507" s="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0.5" customHeight="1" x14ac:dyDescent="0.25">
      <c r="A508" s="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0.5" customHeight="1" x14ac:dyDescent="0.25">
      <c r="A509" s="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0.5" customHeight="1" x14ac:dyDescent="0.25">
      <c r="A510" s="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0.5" customHeight="1" x14ac:dyDescent="0.25">
      <c r="A511" s="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0.5" customHeight="1" x14ac:dyDescent="0.25">
      <c r="A512" s="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0.5" customHeight="1" x14ac:dyDescent="0.25">
      <c r="A513" s="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0.5" customHeight="1" x14ac:dyDescent="0.25">
      <c r="A514" s="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0.5" customHeight="1" x14ac:dyDescent="0.25">
      <c r="A515" s="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0.5" customHeight="1" x14ac:dyDescent="0.25">
      <c r="A516" s="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0.5" customHeight="1" x14ac:dyDescent="0.25">
      <c r="A517" s="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0.5" customHeight="1" x14ac:dyDescent="0.25">
      <c r="A518" s="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0.5" customHeight="1" x14ac:dyDescent="0.25">
      <c r="A519" s="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0.5" customHeight="1" x14ac:dyDescent="0.25">
      <c r="A520" s="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0.5" customHeight="1" x14ac:dyDescent="0.25">
      <c r="A521" s="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0.5" customHeight="1" x14ac:dyDescent="0.25">
      <c r="A522" s="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0.5" customHeight="1" x14ac:dyDescent="0.25">
      <c r="A523" s="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0.5" customHeight="1" x14ac:dyDescent="0.25">
      <c r="A524" s="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0.5" customHeight="1" x14ac:dyDescent="0.25">
      <c r="A525" s="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0.5" customHeight="1" x14ac:dyDescent="0.25">
      <c r="A526" s="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0.5" customHeight="1" x14ac:dyDescent="0.25">
      <c r="A527" s="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0.5" customHeight="1" x14ac:dyDescent="0.25">
      <c r="A528" s="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0.5" customHeight="1" x14ac:dyDescent="0.25">
      <c r="A529" s="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0.5" customHeight="1" x14ac:dyDescent="0.25">
      <c r="A530" s="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0.5" customHeight="1" x14ac:dyDescent="0.25">
      <c r="A531" s="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0.5" customHeight="1" x14ac:dyDescent="0.25">
      <c r="A532" s="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0.5" customHeight="1" x14ac:dyDescent="0.25">
      <c r="A533" s="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0.5" customHeight="1" x14ac:dyDescent="0.25">
      <c r="A534" s="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0.5" customHeight="1" x14ac:dyDescent="0.25">
      <c r="A535" s="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0.5" customHeight="1" x14ac:dyDescent="0.25">
      <c r="A536" s="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0.5" customHeight="1" x14ac:dyDescent="0.25">
      <c r="A537" s="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0.5" customHeight="1" x14ac:dyDescent="0.25">
      <c r="A538" s="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0.5" customHeight="1" x14ac:dyDescent="0.25">
      <c r="A539" s="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0.5" customHeight="1" x14ac:dyDescent="0.25">
      <c r="A540" s="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0.5" customHeight="1" x14ac:dyDescent="0.25">
      <c r="A541" s="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0.5" customHeight="1" x14ac:dyDescent="0.25">
      <c r="A542" s="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0.5" customHeight="1" x14ac:dyDescent="0.25">
      <c r="A543" s="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0.5" customHeight="1" x14ac:dyDescent="0.25">
      <c r="A544" s="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0.5" customHeight="1" x14ac:dyDescent="0.25">
      <c r="A545" s="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0.5" customHeight="1" x14ac:dyDescent="0.25">
      <c r="A546" s="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0.5" customHeight="1" x14ac:dyDescent="0.25">
      <c r="A547" s="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0.5" customHeight="1" x14ac:dyDescent="0.25">
      <c r="A548" s="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0.5" customHeight="1" x14ac:dyDescent="0.25">
      <c r="A549" s="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0.5" customHeight="1" x14ac:dyDescent="0.25">
      <c r="A550" s="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0.5" customHeight="1" x14ac:dyDescent="0.25">
      <c r="A551" s="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0.5" customHeight="1" x14ac:dyDescent="0.25">
      <c r="A552" s="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0.5" customHeight="1" x14ac:dyDescent="0.25">
      <c r="A553" s="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0.5" customHeight="1" x14ac:dyDescent="0.25">
      <c r="A554" s="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0.5" customHeight="1" x14ac:dyDescent="0.25">
      <c r="A555" s="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0.5" customHeight="1" x14ac:dyDescent="0.25">
      <c r="A556" s="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0.5" customHeight="1" x14ac:dyDescent="0.25">
      <c r="A557" s="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0.5" customHeight="1" x14ac:dyDescent="0.25">
      <c r="A558" s="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0.5" customHeight="1" x14ac:dyDescent="0.25">
      <c r="A559" s="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0.5" customHeight="1" x14ac:dyDescent="0.25">
      <c r="A560" s="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0.5" customHeight="1" x14ac:dyDescent="0.25">
      <c r="A561" s="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0.5" customHeight="1" x14ac:dyDescent="0.25">
      <c r="A562" s="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0.5" customHeight="1" x14ac:dyDescent="0.25">
      <c r="A563" s="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0.5" customHeight="1" x14ac:dyDescent="0.25">
      <c r="A564" s="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0.5" customHeight="1" x14ac:dyDescent="0.25">
      <c r="A565" s="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0.5" customHeight="1" x14ac:dyDescent="0.25">
      <c r="A566" s="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0.5" customHeight="1" x14ac:dyDescent="0.25">
      <c r="A567" s="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0.5" customHeight="1" x14ac:dyDescent="0.25">
      <c r="A568" s="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0.5" customHeight="1" x14ac:dyDescent="0.25">
      <c r="A569" s="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0.5" customHeight="1" x14ac:dyDescent="0.25">
      <c r="A570" s="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0.5" customHeight="1" x14ac:dyDescent="0.25">
      <c r="A571" s="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0.5" customHeight="1" x14ac:dyDescent="0.25">
      <c r="A572" s="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0.5" customHeight="1" x14ac:dyDescent="0.25">
      <c r="A573" s="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0.5" customHeight="1" x14ac:dyDescent="0.25">
      <c r="A574" s="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0.5" customHeight="1" x14ac:dyDescent="0.25">
      <c r="A575" s="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0.5" customHeight="1" x14ac:dyDescent="0.25">
      <c r="A576" s="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0.5" customHeight="1" x14ac:dyDescent="0.25">
      <c r="A577" s="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0.5" customHeight="1" x14ac:dyDescent="0.25">
      <c r="A578" s="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0.5" customHeight="1" x14ac:dyDescent="0.25">
      <c r="A579" s="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0.5" customHeight="1" x14ac:dyDescent="0.25">
      <c r="A580" s="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0.5" customHeight="1" x14ac:dyDescent="0.25">
      <c r="A581" s="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0.5" customHeight="1" x14ac:dyDescent="0.25">
      <c r="A582" s="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0.5" customHeight="1" x14ac:dyDescent="0.25">
      <c r="A583" s="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0.5" customHeight="1" x14ac:dyDescent="0.25">
      <c r="A584" s="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0.5" customHeight="1" x14ac:dyDescent="0.25">
      <c r="A585" s="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0.5" customHeight="1" x14ac:dyDescent="0.25">
      <c r="A586" s="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0.5" customHeight="1" x14ac:dyDescent="0.25">
      <c r="A587" s="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0.5" customHeight="1" x14ac:dyDescent="0.25">
      <c r="A588" s="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0.5" customHeight="1" x14ac:dyDescent="0.25">
      <c r="A589" s="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0.5" customHeight="1" x14ac:dyDescent="0.25">
      <c r="A590" s="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0.5" customHeight="1" x14ac:dyDescent="0.25">
      <c r="A591" s="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0.5" customHeight="1" x14ac:dyDescent="0.25">
      <c r="A592" s="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0.5" customHeight="1" x14ac:dyDescent="0.25">
      <c r="A593" s="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0.5" customHeight="1" x14ac:dyDescent="0.25">
      <c r="A594" s="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0.5" customHeight="1" x14ac:dyDescent="0.25">
      <c r="A595" s="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0.5" customHeight="1" x14ac:dyDescent="0.25">
      <c r="A596" s="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0.5" customHeight="1" x14ac:dyDescent="0.25">
      <c r="A597" s="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0.5" customHeight="1" x14ac:dyDescent="0.25">
      <c r="A598" s="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0.5" customHeight="1" x14ac:dyDescent="0.25">
      <c r="A599" s="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0.5" customHeight="1" x14ac:dyDescent="0.25">
      <c r="A600" s="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0.5" customHeight="1" x14ac:dyDescent="0.25">
      <c r="A601" s="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0.5" customHeight="1" x14ac:dyDescent="0.25">
      <c r="A602" s="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0.5" customHeight="1" x14ac:dyDescent="0.25">
      <c r="A603" s="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0.5" customHeight="1" x14ac:dyDescent="0.25">
      <c r="A604" s="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0.5" customHeight="1" x14ac:dyDescent="0.25">
      <c r="A605" s="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0.5" customHeight="1" x14ac:dyDescent="0.25">
      <c r="A606" s="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0.5" customHeight="1" x14ac:dyDescent="0.25">
      <c r="A607" s="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0.5" customHeight="1" x14ac:dyDescent="0.25">
      <c r="A608" s="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0.5" customHeight="1" x14ac:dyDescent="0.25">
      <c r="A609" s="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0.5" customHeight="1" x14ac:dyDescent="0.25">
      <c r="A610" s="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0.5" customHeight="1" x14ac:dyDescent="0.25">
      <c r="A611" s="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0.5" customHeight="1" x14ac:dyDescent="0.25">
      <c r="A612" s="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0.5" customHeight="1" x14ac:dyDescent="0.25">
      <c r="A613" s="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0.5" customHeight="1" x14ac:dyDescent="0.25">
      <c r="A614" s="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0.5" customHeight="1" x14ac:dyDescent="0.25">
      <c r="A615" s="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0.5" customHeight="1" x14ac:dyDescent="0.25">
      <c r="A616" s="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0.5" customHeight="1" x14ac:dyDescent="0.25">
      <c r="A617" s="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0.5" customHeight="1" x14ac:dyDescent="0.25">
      <c r="A618" s="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0.5" customHeight="1" x14ac:dyDescent="0.25">
      <c r="A619" s="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0.5" customHeight="1" x14ac:dyDescent="0.25">
      <c r="A620" s="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0.5" customHeight="1" x14ac:dyDescent="0.25">
      <c r="A621" s="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0.5" customHeight="1" x14ac:dyDescent="0.25">
      <c r="A622" s="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0.5" customHeight="1" x14ac:dyDescent="0.25">
      <c r="A623" s="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0.5" customHeight="1" x14ac:dyDescent="0.25">
      <c r="A624" s="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0.5" customHeight="1" x14ac:dyDescent="0.25">
      <c r="A625" s="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0.5" customHeight="1" x14ac:dyDescent="0.25">
      <c r="A626" s="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0.5" customHeight="1" x14ac:dyDescent="0.25">
      <c r="A627" s="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0.5" customHeight="1" x14ac:dyDescent="0.25">
      <c r="A628" s="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0.5" customHeight="1" x14ac:dyDescent="0.25">
      <c r="A629" s="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0.5" customHeight="1" x14ac:dyDescent="0.25">
      <c r="A630" s="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0.5" customHeight="1" x14ac:dyDescent="0.25">
      <c r="A631" s="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0.5" customHeight="1" x14ac:dyDescent="0.25">
      <c r="A632" s="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0.5" customHeight="1" x14ac:dyDescent="0.25">
      <c r="A633" s="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0.5" customHeight="1" x14ac:dyDescent="0.25">
      <c r="A634" s="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0.5" customHeight="1" x14ac:dyDescent="0.25">
      <c r="A635" s="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0.5" customHeight="1" x14ac:dyDescent="0.25">
      <c r="A636" s="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0.5" customHeight="1" x14ac:dyDescent="0.25">
      <c r="A637" s="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0.5" customHeight="1" x14ac:dyDescent="0.25">
      <c r="A638" s="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0.5" customHeight="1" x14ac:dyDescent="0.25">
      <c r="A639" s="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0.5" customHeight="1" x14ac:dyDescent="0.25">
      <c r="A640" s="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0.5" customHeight="1" x14ac:dyDescent="0.25">
      <c r="A641" s="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0.5" customHeight="1" x14ac:dyDescent="0.25">
      <c r="A642" s="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0.5" customHeight="1" x14ac:dyDescent="0.25">
      <c r="A643" s="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0.5" customHeight="1" x14ac:dyDescent="0.25">
      <c r="A644" s="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0.5" customHeight="1" x14ac:dyDescent="0.25">
      <c r="A645" s="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0.5" customHeight="1" x14ac:dyDescent="0.25">
      <c r="A646" s="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0.5" customHeight="1" x14ac:dyDescent="0.25">
      <c r="A647" s="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0.5" customHeight="1" x14ac:dyDescent="0.25">
      <c r="A648" s="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0.5" customHeight="1" x14ac:dyDescent="0.25">
      <c r="A649" s="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0.5" customHeight="1" x14ac:dyDescent="0.25">
      <c r="A650" s="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0.5" customHeight="1" x14ac:dyDescent="0.25">
      <c r="A651" s="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0.5" customHeight="1" x14ac:dyDescent="0.25">
      <c r="A652" s="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0.5" customHeight="1" x14ac:dyDescent="0.25">
      <c r="A653" s="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0.5" customHeight="1" x14ac:dyDescent="0.25">
      <c r="A654" s="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0.5" customHeight="1" x14ac:dyDescent="0.25">
      <c r="A655" s="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0.5" customHeight="1" x14ac:dyDescent="0.25">
      <c r="A656" s="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0.5" customHeight="1" x14ac:dyDescent="0.25">
      <c r="A657" s="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0.5" customHeight="1" x14ac:dyDescent="0.25">
      <c r="A658" s="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0.5" customHeight="1" x14ac:dyDescent="0.25">
      <c r="A659" s="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0.5" customHeight="1" x14ac:dyDescent="0.25">
      <c r="A660" s="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0.5" customHeight="1" x14ac:dyDescent="0.25">
      <c r="A661" s="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0.5" customHeight="1" x14ac:dyDescent="0.25">
      <c r="A662" s="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0.5" customHeight="1" x14ac:dyDescent="0.25">
      <c r="A663" s="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0.5" customHeight="1" x14ac:dyDescent="0.25">
      <c r="A664" s="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0.5" customHeight="1" x14ac:dyDescent="0.25">
      <c r="A665" s="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0.5" customHeight="1" x14ac:dyDescent="0.25">
      <c r="A666" s="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0.5" customHeight="1" x14ac:dyDescent="0.25">
      <c r="A667" s="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0.5" customHeight="1" x14ac:dyDescent="0.25">
      <c r="A668" s="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0.5" customHeight="1" x14ac:dyDescent="0.25">
      <c r="A669" s="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0.5" customHeight="1" x14ac:dyDescent="0.25">
      <c r="A670" s="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0.5" customHeight="1" x14ac:dyDescent="0.25">
      <c r="A671" s="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0.5" customHeight="1" x14ac:dyDescent="0.25">
      <c r="A672" s="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0.5" customHeight="1" x14ac:dyDescent="0.25">
      <c r="A673" s="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0.5" customHeight="1" x14ac:dyDescent="0.25">
      <c r="A674" s="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0.5" customHeight="1" x14ac:dyDescent="0.25">
      <c r="A675" s="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0.5" customHeight="1" x14ac:dyDescent="0.25">
      <c r="A676" s="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0.5" customHeight="1" x14ac:dyDescent="0.25">
      <c r="A677" s="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0.5" customHeight="1" x14ac:dyDescent="0.25">
      <c r="A678" s="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0.5" customHeight="1" x14ac:dyDescent="0.25">
      <c r="A679" s="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0.5" customHeight="1" x14ac:dyDescent="0.25">
      <c r="A680" s="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0.5" customHeight="1" x14ac:dyDescent="0.25">
      <c r="A681" s="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0.5" customHeight="1" x14ac:dyDescent="0.25">
      <c r="A682" s="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0.5" customHeight="1" x14ac:dyDescent="0.25">
      <c r="A683" s="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0.5" customHeight="1" x14ac:dyDescent="0.25">
      <c r="A684" s="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0.5" customHeight="1" x14ac:dyDescent="0.25">
      <c r="A685" s="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0.5" customHeight="1" x14ac:dyDescent="0.25">
      <c r="A686" s="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0.5" customHeight="1" x14ac:dyDescent="0.25">
      <c r="A687" s="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0.5" customHeight="1" x14ac:dyDescent="0.25">
      <c r="A688" s="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0.5" customHeight="1" x14ac:dyDescent="0.25">
      <c r="A689" s="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0.5" customHeight="1" x14ac:dyDescent="0.25">
      <c r="A690" s="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0.5" customHeight="1" x14ac:dyDescent="0.25">
      <c r="A691" s="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0.5" customHeight="1" x14ac:dyDescent="0.25">
      <c r="A692" s="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0.5" customHeight="1" x14ac:dyDescent="0.25">
      <c r="A693" s="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0.5" customHeight="1" x14ac:dyDescent="0.25">
      <c r="A694" s="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0.5" customHeight="1" x14ac:dyDescent="0.25">
      <c r="A695" s="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0.5" customHeight="1" x14ac:dyDescent="0.25">
      <c r="A696" s="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0.5" customHeight="1" x14ac:dyDescent="0.25">
      <c r="A697" s="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0.5" customHeight="1" x14ac:dyDescent="0.25">
      <c r="A698" s="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0.5" customHeight="1" x14ac:dyDescent="0.25">
      <c r="A699" s="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0.5" customHeight="1" x14ac:dyDescent="0.25">
      <c r="A700" s="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0.5" customHeight="1" x14ac:dyDescent="0.25">
      <c r="A701" s="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0.5" customHeight="1" x14ac:dyDescent="0.25">
      <c r="A702" s="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0.5" customHeight="1" x14ac:dyDescent="0.25">
      <c r="A703" s="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0.5" customHeight="1" x14ac:dyDescent="0.25">
      <c r="A704" s="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0.5" customHeight="1" x14ac:dyDescent="0.25">
      <c r="A705" s="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0.5" customHeight="1" x14ac:dyDescent="0.25">
      <c r="A706" s="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0.5" customHeight="1" x14ac:dyDescent="0.25">
      <c r="A707" s="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0.5" customHeight="1" x14ac:dyDescent="0.25">
      <c r="A708" s="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0.5" customHeight="1" x14ac:dyDescent="0.25">
      <c r="A709" s="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0.5" customHeight="1" x14ac:dyDescent="0.25">
      <c r="A710" s="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0.5" customHeight="1" x14ac:dyDescent="0.25">
      <c r="A711" s="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0.5" customHeight="1" x14ac:dyDescent="0.25">
      <c r="A712" s="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0.5" customHeight="1" x14ac:dyDescent="0.25">
      <c r="A713" s="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0.5" customHeight="1" x14ac:dyDescent="0.25">
      <c r="A714" s="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0.5" customHeight="1" x14ac:dyDescent="0.25">
      <c r="A715" s="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0.5" customHeight="1" x14ac:dyDescent="0.25">
      <c r="A716" s="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0.5" customHeight="1" x14ac:dyDescent="0.25">
      <c r="A717" s="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0.5" customHeight="1" x14ac:dyDescent="0.25">
      <c r="A718" s="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0.5" customHeight="1" x14ac:dyDescent="0.25">
      <c r="A719" s="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0.5" customHeight="1" x14ac:dyDescent="0.25">
      <c r="A720" s="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0.5" customHeight="1" x14ac:dyDescent="0.25">
      <c r="A721" s="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0.5" customHeight="1" x14ac:dyDescent="0.25">
      <c r="A722" s="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0.5" customHeight="1" x14ac:dyDescent="0.25">
      <c r="A723" s="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0.5" customHeight="1" x14ac:dyDescent="0.25">
      <c r="A724" s="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0.5" customHeight="1" x14ac:dyDescent="0.25">
      <c r="A725" s="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0.5" customHeight="1" x14ac:dyDescent="0.25">
      <c r="A726" s="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0.5" customHeight="1" x14ac:dyDescent="0.25">
      <c r="A727" s="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0.5" customHeight="1" x14ac:dyDescent="0.25">
      <c r="A728" s="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0.5" customHeight="1" x14ac:dyDescent="0.25">
      <c r="A729" s="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0.5" customHeight="1" x14ac:dyDescent="0.25">
      <c r="A730" s="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0.5" customHeight="1" x14ac:dyDescent="0.25">
      <c r="A731" s="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0.5" customHeight="1" x14ac:dyDescent="0.25">
      <c r="A732" s="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0.5" customHeight="1" x14ac:dyDescent="0.25">
      <c r="A733" s="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0.5" customHeight="1" x14ac:dyDescent="0.25">
      <c r="A734" s="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0.5" customHeight="1" x14ac:dyDescent="0.25">
      <c r="A735" s="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0.5" customHeight="1" x14ac:dyDescent="0.25">
      <c r="A736" s="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0.5" customHeight="1" x14ac:dyDescent="0.25">
      <c r="A737" s="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0.5" customHeight="1" x14ac:dyDescent="0.25">
      <c r="A738" s="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0.5" customHeight="1" x14ac:dyDescent="0.25">
      <c r="A739" s="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0.5" customHeight="1" x14ac:dyDescent="0.25">
      <c r="A740" s="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0.5" customHeight="1" x14ac:dyDescent="0.25">
      <c r="A741" s="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0.5" customHeight="1" x14ac:dyDescent="0.25">
      <c r="A742" s="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0.5" customHeight="1" x14ac:dyDescent="0.25">
      <c r="A743" s="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0.5" customHeight="1" x14ac:dyDescent="0.25">
      <c r="A744" s="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0.5" customHeight="1" x14ac:dyDescent="0.25">
      <c r="A745" s="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0.5" customHeight="1" x14ac:dyDescent="0.25">
      <c r="A746" s="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0.5" customHeight="1" x14ac:dyDescent="0.25">
      <c r="A747" s="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0.5" customHeight="1" x14ac:dyDescent="0.25">
      <c r="A748" s="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0.5" customHeight="1" x14ac:dyDescent="0.25">
      <c r="A749" s="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0.5" customHeight="1" x14ac:dyDescent="0.25">
      <c r="A750" s="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0.5" customHeight="1" x14ac:dyDescent="0.25">
      <c r="A751" s="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0.5" customHeight="1" x14ac:dyDescent="0.25">
      <c r="A752" s="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0.5" customHeight="1" x14ac:dyDescent="0.25">
      <c r="A753" s="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0.5" customHeight="1" x14ac:dyDescent="0.25">
      <c r="A754" s="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0.5" customHeight="1" x14ac:dyDescent="0.25">
      <c r="A755" s="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0.5" customHeight="1" x14ac:dyDescent="0.25">
      <c r="A756" s="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0.5" customHeight="1" x14ac:dyDescent="0.25">
      <c r="A757" s="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0.5" customHeight="1" x14ac:dyDescent="0.25">
      <c r="A758" s="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0.5" customHeight="1" x14ac:dyDescent="0.25">
      <c r="A759" s="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0.5" customHeight="1" x14ac:dyDescent="0.25">
      <c r="A760" s="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0.5" customHeight="1" x14ac:dyDescent="0.25">
      <c r="A761" s="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0.5" customHeight="1" x14ac:dyDescent="0.25">
      <c r="A762" s="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0.5" customHeight="1" x14ac:dyDescent="0.25">
      <c r="A763" s="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0.5" customHeight="1" x14ac:dyDescent="0.25">
      <c r="A764" s="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0.5" customHeight="1" x14ac:dyDescent="0.25">
      <c r="A765" s="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0.5" customHeight="1" x14ac:dyDescent="0.25">
      <c r="A766" s="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0.5" customHeight="1" x14ac:dyDescent="0.25">
      <c r="A767" s="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0.5" customHeight="1" x14ac:dyDescent="0.25">
      <c r="A768" s="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0.5" customHeight="1" x14ac:dyDescent="0.25">
      <c r="A769" s="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0.5" customHeight="1" x14ac:dyDescent="0.25">
      <c r="A770" s="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0.5" customHeight="1" x14ac:dyDescent="0.25">
      <c r="A771" s="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0.5" customHeight="1" x14ac:dyDescent="0.25">
      <c r="A772" s="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0.5" customHeight="1" x14ac:dyDescent="0.25">
      <c r="A773" s="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0.5" customHeight="1" x14ac:dyDescent="0.25">
      <c r="A774" s="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0.5" customHeight="1" x14ac:dyDescent="0.25">
      <c r="A775" s="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0.5" customHeight="1" x14ac:dyDescent="0.25">
      <c r="A776" s="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0.5" customHeight="1" x14ac:dyDescent="0.25">
      <c r="A777" s="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0.5" customHeight="1" x14ac:dyDescent="0.25">
      <c r="A778" s="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0.5" customHeight="1" x14ac:dyDescent="0.25">
      <c r="A779" s="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0.5" customHeight="1" x14ac:dyDescent="0.25">
      <c r="A780" s="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0.5" customHeight="1" x14ac:dyDescent="0.25">
      <c r="A781" s="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0.5" customHeight="1" x14ac:dyDescent="0.25">
      <c r="A782" s="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0.5" customHeight="1" x14ac:dyDescent="0.25">
      <c r="A783" s="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0.5" customHeight="1" x14ac:dyDescent="0.25">
      <c r="A784" s="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0.5" customHeight="1" x14ac:dyDescent="0.25">
      <c r="A785" s="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0.5" customHeight="1" x14ac:dyDescent="0.25">
      <c r="A786" s="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0.5" customHeight="1" x14ac:dyDescent="0.25">
      <c r="A787" s="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0.5" customHeight="1" x14ac:dyDescent="0.25">
      <c r="A788" s="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0.5" customHeight="1" x14ac:dyDescent="0.25">
      <c r="A789" s="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0.5" customHeight="1" x14ac:dyDescent="0.25">
      <c r="A790" s="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0.5" customHeight="1" x14ac:dyDescent="0.25">
      <c r="A791" s="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0.5" customHeight="1" x14ac:dyDescent="0.25">
      <c r="A792" s="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0.5" customHeight="1" x14ac:dyDescent="0.25">
      <c r="A793" s="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0.5" customHeight="1" x14ac:dyDescent="0.25">
      <c r="A794" s="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0.5" customHeight="1" x14ac:dyDescent="0.25">
      <c r="A795" s="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0.5" customHeight="1" x14ac:dyDescent="0.25">
      <c r="A796" s="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0.5" customHeight="1" x14ac:dyDescent="0.25">
      <c r="A797" s="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0.5" customHeight="1" x14ac:dyDescent="0.25">
      <c r="A798" s="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0.5" customHeight="1" x14ac:dyDescent="0.25">
      <c r="A799" s="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0.5" customHeight="1" x14ac:dyDescent="0.25">
      <c r="A800" s="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0.5" customHeight="1" x14ac:dyDescent="0.25">
      <c r="A801" s="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0.5" customHeight="1" x14ac:dyDescent="0.25">
      <c r="A802" s="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0.5" customHeight="1" x14ac:dyDescent="0.25">
      <c r="A803" s="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0.5" customHeight="1" x14ac:dyDescent="0.25">
      <c r="A804" s="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0.5" customHeight="1" x14ac:dyDescent="0.25">
      <c r="A805" s="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0.5" customHeight="1" x14ac:dyDescent="0.25">
      <c r="A806" s="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0.5" customHeight="1" x14ac:dyDescent="0.25">
      <c r="A807" s="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0.5" customHeight="1" x14ac:dyDescent="0.25">
      <c r="A808" s="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0.5" customHeight="1" x14ac:dyDescent="0.25">
      <c r="A809" s="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0.5" customHeight="1" x14ac:dyDescent="0.25">
      <c r="A810" s="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0.5" customHeight="1" x14ac:dyDescent="0.25">
      <c r="A811" s="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0.5" customHeight="1" x14ac:dyDescent="0.25">
      <c r="A812" s="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0.5" customHeight="1" x14ac:dyDescent="0.25">
      <c r="A813" s="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0.5" customHeight="1" x14ac:dyDescent="0.25">
      <c r="A814" s="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0.5" customHeight="1" x14ac:dyDescent="0.25">
      <c r="A815" s="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0.5" customHeight="1" x14ac:dyDescent="0.25">
      <c r="A816" s="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0.5" customHeight="1" x14ac:dyDescent="0.25">
      <c r="A817" s="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0.5" customHeight="1" x14ac:dyDescent="0.25">
      <c r="A818" s="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0.5" customHeight="1" x14ac:dyDescent="0.25">
      <c r="A819" s="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0.5" customHeight="1" x14ac:dyDescent="0.25">
      <c r="A820" s="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0.5" customHeight="1" x14ac:dyDescent="0.25">
      <c r="A821" s="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0.5" customHeight="1" x14ac:dyDescent="0.25">
      <c r="A822" s="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0.5" customHeight="1" x14ac:dyDescent="0.25">
      <c r="A823" s="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0.5" customHeight="1" x14ac:dyDescent="0.25">
      <c r="A824" s="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0.5" customHeight="1" x14ac:dyDescent="0.25">
      <c r="A825" s="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0.5" customHeight="1" x14ac:dyDescent="0.25">
      <c r="A826" s="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0.5" customHeight="1" x14ac:dyDescent="0.25">
      <c r="A827" s="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0.5" customHeight="1" x14ac:dyDescent="0.25">
      <c r="A828" s="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0.5" customHeight="1" x14ac:dyDescent="0.25">
      <c r="A829" s="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0.5" customHeight="1" x14ac:dyDescent="0.25">
      <c r="A830" s="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0.5" customHeight="1" x14ac:dyDescent="0.25">
      <c r="A831" s="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0.5" customHeight="1" x14ac:dyDescent="0.25">
      <c r="A832" s="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0.5" customHeight="1" x14ac:dyDescent="0.25">
      <c r="A833" s="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0.5" customHeight="1" x14ac:dyDescent="0.25">
      <c r="A834" s="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0.5" customHeight="1" x14ac:dyDescent="0.25">
      <c r="A835" s="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0.5" customHeight="1" x14ac:dyDescent="0.25">
      <c r="A836" s="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0.5" customHeight="1" x14ac:dyDescent="0.25">
      <c r="A837" s="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0.5" customHeight="1" x14ac:dyDescent="0.25">
      <c r="A838" s="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0.5" customHeight="1" x14ac:dyDescent="0.25">
      <c r="A839" s="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0.5" customHeight="1" x14ac:dyDescent="0.25">
      <c r="A840" s="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0.5" customHeight="1" x14ac:dyDescent="0.25">
      <c r="A841" s="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0.5" customHeight="1" x14ac:dyDescent="0.25">
      <c r="A842" s="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0.5" customHeight="1" x14ac:dyDescent="0.25">
      <c r="A843" s="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0.5" customHeight="1" x14ac:dyDescent="0.25">
      <c r="A844" s="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0.5" customHeight="1" x14ac:dyDescent="0.25">
      <c r="A845" s="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0.5" customHeight="1" x14ac:dyDescent="0.25">
      <c r="A846" s="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0.5" customHeight="1" x14ac:dyDescent="0.25">
      <c r="A847" s="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0.5" customHeight="1" x14ac:dyDescent="0.25">
      <c r="A848" s="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0.5" customHeight="1" x14ac:dyDescent="0.25">
      <c r="A849" s="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0.5" customHeight="1" x14ac:dyDescent="0.25">
      <c r="A850" s="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0.5" customHeight="1" x14ac:dyDescent="0.25">
      <c r="A851" s="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0.5" customHeight="1" x14ac:dyDescent="0.25">
      <c r="A852" s="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0.5" customHeight="1" x14ac:dyDescent="0.25">
      <c r="A853" s="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0.5" customHeight="1" x14ac:dyDescent="0.25">
      <c r="A854" s="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0.5" customHeight="1" x14ac:dyDescent="0.25">
      <c r="A855" s="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0.5" customHeight="1" x14ac:dyDescent="0.25">
      <c r="A856" s="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0.5" customHeight="1" x14ac:dyDescent="0.25">
      <c r="A857" s="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0.5" customHeight="1" x14ac:dyDescent="0.25">
      <c r="A858" s="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0.5" customHeight="1" x14ac:dyDescent="0.25">
      <c r="A859" s="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0.5" customHeight="1" x14ac:dyDescent="0.25">
      <c r="A860" s="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0.5" customHeight="1" x14ac:dyDescent="0.25">
      <c r="A861" s="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0.5" customHeight="1" x14ac:dyDescent="0.25">
      <c r="A862" s="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0.5" customHeight="1" x14ac:dyDescent="0.25">
      <c r="A863" s="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0.5" customHeight="1" x14ac:dyDescent="0.25">
      <c r="A864" s="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0.5" customHeight="1" x14ac:dyDescent="0.25">
      <c r="A865" s="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0.5" customHeight="1" x14ac:dyDescent="0.25">
      <c r="A866" s="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0.5" customHeight="1" x14ac:dyDescent="0.25">
      <c r="A867" s="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0.5" customHeight="1" x14ac:dyDescent="0.25">
      <c r="A868" s="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0.5" customHeight="1" x14ac:dyDescent="0.25">
      <c r="A869" s="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0.5" customHeight="1" x14ac:dyDescent="0.25">
      <c r="A870" s="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0.5" customHeight="1" x14ac:dyDescent="0.25">
      <c r="A871" s="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0.5" customHeight="1" x14ac:dyDescent="0.25">
      <c r="A872" s="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0.5" customHeight="1" x14ac:dyDescent="0.25">
      <c r="A873" s="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0.5" customHeight="1" x14ac:dyDescent="0.25">
      <c r="A874" s="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0.5" customHeight="1" x14ac:dyDescent="0.25">
      <c r="A875" s="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0.5" customHeight="1" x14ac:dyDescent="0.25">
      <c r="A876" s="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0.5" customHeight="1" x14ac:dyDescent="0.25">
      <c r="A877" s="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0.5" customHeight="1" x14ac:dyDescent="0.25">
      <c r="A878" s="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0.5" customHeight="1" x14ac:dyDescent="0.25">
      <c r="A879" s="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0.5" customHeight="1" x14ac:dyDescent="0.25">
      <c r="A880" s="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0.5" customHeight="1" x14ac:dyDescent="0.25">
      <c r="A881" s="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0.5" customHeight="1" x14ac:dyDescent="0.25">
      <c r="A882" s="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0.5" customHeight="1" x14ac:dyDescent="0.25">
      <c r="A883" s="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0.5" customHeight="1" x14ac:dyDescent="0.25">
      <c r="A884" s="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0.5" customHeight="1" x14ac:dyDescent="0.25">
      <c r="A885" s="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0.5" customHeight="1" x14ac:dyDescent="0.25">
      <c r="A886" s="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0.5" customHeight="1" x14ac:dyDescent="0.25">
      <c r="A887" s="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0.5" customHeight="1" x14ac:dyDescent="0.25">
      <c r="A888" s="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0.5" customHeight="1" x14ac:dyDescent="0.25">
      <c r="A889" s="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0.5" customHeight="1" x14ac:dyDescent="0.25">
      <c r="A890" s="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0.5" customHeight="1" x14ac:dyDescent="0.25">
      <c r="A891" s="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0.5" customHeight="1" x14ac:dyDescent="0.25">
      <c r="A892" s="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0.5" customHeight="1" x14ac:dyDescent="0.25">
      <c r="A893" s="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0.5" customHeight="1" x14ac:dyDescent="0.25">
      <c r="A894" s="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0.5" customHeight="1" x14ac:dyDescent="0.25">
      <c r="A895" s="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0.5" customHeight="1" x14ac:dyDescent="0.25">
      <c r="A896" s="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0.5" customHeight="1" x14ac:dyDescent="0.25">
      <c r="A897" s="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0.5" customHeight="1" x14ac:dyDescent="0.25">
      <c r="A898" s="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0.5" customHeight="1" x14ac:dyDescent="0.25">
      <c r="A899" s="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0.5" customHeight="1" x14ac:dyDescent="0.25">
      <c r="A900" s="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0.5" customHeight="1" x14ac:dyDescent="0.25">
      <c r="A901" s="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0.5" customHeight="1" x14ac:dyDescent="0.25">
      <c r="A902" s="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0.5" customHeight="1" x14ac:dyDescent="0.25">
      <c r="A903" s="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0.5" customHeight="1" x14ac:dyDescent="0.25">
      <c r="A904" s="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0.5" customHeight="1" x14ac:dyDescent="0.25">
      <c r="A905" s="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0.5" customHeight="1" x14ac:dyDescent="0.25">
      <c r="A906" s="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0.5" customHeight="1" x14ac:dyDescent="0.25">
      <c r="A907" s="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0.5" customHeight="1" x14ac:dyDescent="0.25">
      <c r="A908" s="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0.5" customHeight="1" x14ac:dyDescent="0.25">
      <c r="A909" s="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0.5" customHeight="1" x14ac:dyDescent="0.25">
      <c r="A910" s="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0.5" customHeight="1" x14ac:dyDescent="0.25">
      <c r="A911" s="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0.5" customHeight="1" x14ac:dyDescent="0.25">
      <c r="A912" s="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0.5" customHeight="1" x14ac:dyDescent="0.25">
      <c r="A913" s="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0.5" customHeight="1" x14ac:dyDescent="0.25">
      <c r="A914" s="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0.5" customHeight="1" x14ac:dyDescent="0.25">
      <c r="A915" s="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0.5" customHeight="1" x14ac:dyDescent="0.25">
      <c r="A916" s="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0.5" customHeight="1" x14ac:dyDescent="0.25">
      <c r="A917" s="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0.5" customHeight="1" x14ac:dyDescent="0.25">
      <c r="A918" s="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0.5" customHeight="1" x14ac:dyDescent="0.25">
      <c r="A919" s="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0.5" customHeight="1" x14ac:dyDescent="0.25">
      <c r="A920" s="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0.5" customHeight="1" x14ac:dyDescent="0.25">
      <c r="A921" s="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0.5" customHeight="1" x14ac:dyDescent="0.25">
      <c r="A922" s="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0.5" customHeight="1" x14ac:dyDescent="0.25">
      <c r="A923" s="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0.5" customHeight="1" x14ac:dyDescent="0.25">
      <c r="A924" s="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0.5" customHeight="1" x14ac:dyDescent="0.25">
      <c r="A925" s="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0.5" customHeight="1" x14ac:dyDescent="0.25">
      <c r="A926" s="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0.5" customHeight="1" x14ac:dyDescent="0.25">
      <c r="A927" s="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0.5" customHeight="1" x14ac:dyDescent="0.25">
      <c r="A928" s="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0.5" customHeight="1" x14ac:dyDescent="0.25">
      <c r="A929" s="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0.5" customHeight="1" x14ac:dyDescent="0.25">
      <c r="A930" s="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0.5" customHeight="1" x14ac:dyDescent="0.25">
      <c r="A931" s="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0.5" customHeight="1" x14ac:dyDescent="0.25">
      <c r="A932" s="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0.5" customHeight="1" x14ac:dyDescent="0.25">
      <c r="A933" s="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0.5" customHeight="1" x14ac:dyDescent="0.25">
      <c r="A934" s="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0.5" customHeight="1" x14ac:dyDescent="0.25">
      <c r="A935" s="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0.5" customHeight="1" x14ac:dyDescent="0.25">
      <c r="A936" s="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0.5" customHeight="1" x14ac:dyDescent="0.25">
      <c r="A937" s="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0.5" customHeight="1" x14ac:dyDescent="0.25">
      <c r="A938" s="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0.5" customHeight="1" x14ac:dyDescent="0.25">
      <c r="A939" s="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0.5" customHeight="1" x14ac:dyDescent="0.25">
      <c r="A940" s="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0.5" customHeight="1" x14ac:dyDescent="0.25">
      <c r="A941" s="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0.5" customHeight="1" x14ac:dyDescent="0.25">
      <c r="A942" s="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0.5" customHeight="1" x14ac:dyDescent="0.25">
      <c r="A943" s="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0.5" customHeight="1" x14ac:dyDescent="0.25">
      <c r="A944" s="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0.5" customHeight="1" x14ac:dyDescent="0.25">
      <c r="A945" s="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0.5" customHeight="1" x14ac:dyDescent="0.25">
      <c r="A946" s="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0.5" customHeight="1" x14ac:dyDescent="0.25">
      <c r="A947" s="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0.5" customHeight="1" x14ac:dyDescent="0.25">
      <c r="A948" s="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0.5" customHeight="1" x14ac:dyDescent="0.25">
      <c r="A949" s="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0.5" customHeight="1" x14ac:dyDescent="0.25">
      <c r="A950" s="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0.5" customHeight="1" x14ac:dyDescent="0.25">
      <c r="A951" s="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0.5" customHeight="1" x14ac:dyDescent="0.25">
      <c r="A952" s="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0.5" customHeight="1" x14ac:dyDescent="0.25">
      <c r="A953" s="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0.5" customHeight="1" x14ac:dyDescent="0.25">
      <c r="A954" s="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0.5" customHeight="1" x14ac:dyDescent="0.25">
      <c r="A955" s="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0.5" customHeight="1" x14ac:dyDescent="0.25">
      <c r="A956" s="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0.5" customHeight="1" x14ac:dyDescent="0.25">
      <c r="A957" s="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0.5" customHeight="1" x14ac:dyDescent="0.25">
      <c r="A958" s="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0.5" customHeight="1" x14ac:dyDescent="0.25">
      <c r="A959" s="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0.5" customHeight="1" x14ac:dyDescent="0.25">
      <c r="A960" s="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0.5" customHeight="1" x14ac:dyDescent="0.25">
      <c r="A961" s="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0.5" customHeight="1" x14ac:dyDescent="0.25">
      <c r="A962" s="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0.5" customHeight="1" x14ac:dyDescent="0.25">
      <c r="A963" s="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0.5" customHeight="1" x14ac:dyDescent="0.25">
      <c r="A964" s="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0.5" customHeight="1" x14ac:dyDescent="0.25">
      <c r="A965" s="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0.5" customHeight="1" x14ac:dyDescent="0.25">
      <c r="A966" s="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0.5" customHeight="1" x14ac:dyDescent="0.25">
      <c r="A967" s="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0.5" customHeight="1" x14ac:dyDescent="0.25">
      <c r="A968" s="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0.5" customHeight="1" x14ac:dyDescent="0.25">
      <c r="A969" s="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0.5" customHeight="1" x14ac:dyDescent="0.25">
      <c r="A970" s="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0.5" customHeight="1" x14ac:dyDescent="0.25">
      <c r="A971" s="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0.5" customHeight="1" x14ac:dyDescent="0.25">
      <c r="A972" s="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0.5" customHeight="1" x14ac:dyDescent="0.25">
      <c r="A973" s="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0.5" customHeight="1" x14ac:dyDescent="0.25">
      <c r="A974" s="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0.5" customHeight="1" x14ac:dyDescent="0.25">
      <c r="A975" s="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0.5" customHeight="1" x14ac:dyDescent="0.25">
      <c r="A976" s="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0.5" customHeight="1" x14ac:dyDescent="0.25">
      <c r="A977" s="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0.5" customHeight="1" x14ac:dyDescent="0.25">
      <c r="A978" s="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0.5" customHeight="1" x14ac:dyDescent="0.25">
      <c r="A979" s="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0.5" customHeight="1" x14ac:dyDescent="0.25">
      <c r="A980" s="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0.5" customHeight="1" x14ac:dyDescent="0.25">
      <c r="A981" s="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0.5" customHeight="1" x14ac:dyDescent="0.25">
      <c r="A982" s="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0.5" customHeight="1" x14ac:dyDescent="0.25">
      <c r="A983" s="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0.5" customHeight="1" x14ac:dyDescent="0.25">
      <c r="A984" s="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0.5" customHeight="1" x14ac:dyDescent="0.25">
      <c r="A985" s="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0.5" customHeight="1" x14ac:dyDescent="0.25">
      <c r="A986" s="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0.5" customHeight="1" x14ac:dyDescent="0.25">
      <c r="A987" s="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0.5" customHeight="1" x14ac:dyDescent="0.25">
      <c r="A988" s="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0.5" customHeight="1" x14ac:dyDescent="0.25">
      <c r="A989" s="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0.5" customHeight="1" x14ac:dyDescent="0.25">
      <c r="A990" s="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0.5" customHeight="1" x14ac:dyDescent="0.25">
      <c r="A991" s="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0.5" customHeight="1" x14ac:dyDescent="0.25">
      <c r="A992" s="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0.5" customHeight="1" x14ac:dyDescent="0.25">
      <c r="A993" s="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0.5" customHeight="1" x14ac:dyDescent="0.25">
      <c r="A994" s="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0.5" customHeight="1" x14ac:dyDescent="0.25">
      <c r="A995" s="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0.5" customHeight="1" x14ac:dyDescent="0.25">
      <c r="A996" s="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0.5" customHeight="1" x14ac:dyDescent="0.25">
      <c r="A997" s="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0.5" customHeight="1" x14ac:dyDescent="0.25">
      <c r="A998" s="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0.5" customHeight="1" x14ac:dyDescent="0.25">
      <c r="A999" s="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0.5" customHeight="1" x14ac:dyDescent="0.25">
      <c r="A1000" s="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M2"/>
    <mergeCell ref="B15:M15"/>
    <mergeCell ref="B28:M28"/>
    <mergeCell ref="B41:M41"/>
    <mergeCell ref="B54:M54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4.42578125" defaultRowHeight="15" customHeight="1" x14ac:dyDescent="0.25"/>
  <cols>
    <col min="1" max="1" width="7.42578125" customWidth="1"/>
    <col min="2" max="24" width="9.140625" customWidth="1"/>
    <col min="25" max="26" width="8.7109375" customWidth="1"/>
  </cols>
  <sheetData>
    <row r="1" spans="1:26" ht="10.5" customHeight="1" x14ac:dyDescent="0.25">
      <c r="A1" s="1" t="s">
        <v>38</v>
      </c>
      <c r="B1" s="1">
        <v>2000</v>
      </c>
      <c r="C1" s="1">
        <v>2001</v>
      </c>
      <c r="D1" s="1">
        <v>2002</v>
      </c>
      <c r="E1" s="1">
        <v>2003</v>
      </c>
      <c r="F1" s="1">
        <v>2004</v>
      </c>
      <c r="G1" s="1">
        <v>2005</v>
      </c>
      <c r="H1" s="1">
        <v>2006</v>
      </c>
      <c r="I1" s="1">
        <v>2007</v>
      </c>
      <c r="J1" s="1">
        <v>2008</v>
      </c>
      <c r="K1" s="1">
        <v>2009</v>
      </c>
      <c r="L1" s="1">
        <v>2010</v>
      </c>
      <c r="M1" s="1">
        <v>2011</v>
      </c>
      <c r="N1" s="1">
        <v>2012</v>
      </c>
      <c r="O1" s="1">
        <v>2013</v>
      </c>
      <c r="P1" s="1">
        <v>2014</v>
      </c>
      <c r="Q1" s="1">
        <v>2015</v>
      </c>
      <c r="R1" s="1">
        <v>2016</v>
      </c>
      <c r="S1" s="1">
        <v>2017</v>
      </c>
      <c r="T1" s="1">
        <v>2018</v>
      </c>
      <c r="U1" s="1">
        <v>2019</v>
      </c>
      <c r="V1" s="1">
        <v>2020</v>
      </c>
      <c r="W1" s="1">
        <v>2021</v>
      </c>
      <c r="X1" s="1">
        <v>2022</v>
      </c>
      <c r="Y1" s="1"/>
      <c r="Z1" s="1"/>
    </row>
    <row r="2" spans="1:26" ht="10.5" customHeight="1" x14ac:dyDescent="0.25">
      <c r="A2" s="1" t="s">
        <v>1</v>
      </c>
      <c r="B2" s="11">
        <v>0.51229624067934998</v>
      </c>
      <c r="C2" s="11">
        <v>0.50620815607711267</v>
      </c>
      <c r="D2" s="11">
        <v>0.50011987127487534</v>
      </c>
      <c r="E2" s="11">
        <v>0.49403178667263797</v>
      </c>
      <c r="F2" s="11">
        <v>0.48794370207040083</v>
      </c>
      <c r="G2" s="11">
        <v>0.48185541746816363</v>
      </c>
      <c r="H2" s="11">
        <v>0.48185541746816363</v>
      </c>
      <c r="I2" s="11">
        <v>0.48185541746816363</v>
      </c>
      <c r="J2" s="11">
        <v>0.48220958083960513</v>
      </c>
      <c r="K2" s="11">
        <v>0.48229926353698216</v>
      </c>
      <c r="L2" s="11">
        <v>0.48143853857719732</v>
      </c>
      <c r="M2" s="11">
        <v>0.48160878706932914</v>
      </c>
      <c r="N2" s="11">
        <v>0.48118735627748899</v>
      </c>
      <c r="O2" s="11">
        <v>0.48186342245282338</v>
      </c>
      <c r="P2" s="11">
        <v>0.4796341084211192</v>
      </c>
      <c r="Q2" s="11">
        <v>0.47840659993912815</v>
      </c>
      <c r="R2" s="11">
        <v>0.47975711031429924</v>
      </c>
      <c r="S2" s="11">
        <v>0.47947557878276781</v>
      </c>
      <c r="T2" s="11">
        <v>0.47919404725123621</v>
      </c>
      <c r="U2" s="11">
        <v>0.47956540824347077</v>
      </c>
      <c r="V2" s="11">
        <v>0.47993676943570518</v>
      </c>
      <c r="W2" s="11">
        <v>0.48151520082556065</v>
      </c>
      <c r="X2" s="11">
        <v>0.47968560290166085</v>
      </c>
      <c r="Y2" s="1"/>
      <c r="Z2" s="1"/>
    </row>
    <row r="3" spans="1:26" ht="10.5" customHeight="1" x14ac:dyDescent="0.25">
      <c r="A3" s="1" t="s">
        <v>2</v>
      </c>
      <c r="B3" s="11">
        <v>0.45945808090560697</v>
      </c>
      <c r="C3" s="11">
        <v>0.45937330709557855</v>
      </c>
      <c r="D3" s="11">
        <v>0.46010657939905714</v>
      </c>
      <c r="E3" s="11">
        <v>0.45885746577706144</v>
      </c>
      <c r="F3" s="11">
        <v>0.45479550049297518</v>
      </c>
      <c r="G3" s="11">
        <v>0.45255952710783454</v>
      </c>
      <c r="H3" s="11">
        <v>0.45019901505189486</v>
      </c>
      <c r="I3" s="11">
        <v>0.44784346690701221</v>
      </c>
      <c r="J3" s="11">
        <v>0.44566080966991695</v>
      </c>
      <c r="K3" s="11">
        <v>0.44768653667359626</v>
      </c>
      <c r="L3" s="11">
        <v>0.44276866587569386</v>
      </c>
      <c r="M3" s="11">
        <v>0.43878232698309205</v>
      </c>
      <c r="N3" s="11">
        <v>0.4371869041409604</v>
      </c>
      <c r="O3" s="11">
        <v>0.43527625210059923</v>
      </c>
      <c r="P3" s="11">
        <v>0.4334205631666192</v>
      </c>
      <c r="Q3" s="11">
        <v>0.44264569815352284</v>
      </c>
      <c r="R3" s="11">
        <v>0.43875176210310574</v>
      </c>
      <c r="S3" s="11">
        <v>0.43494315318452159</v>
      </c>
      <c r="T3" s="11">
        <v>0.43306514653559702</v>
      </c>
      <c r="U3" s="11">
        <v>0.43297851470295018</v>
      </c>
      <c r="V3" s="11">
        <v>0.43488400452454179</v>
      </c>
      <c r="W3" s="11">
        <v>0.43181049957841938</v>
      </c>
      <c r="X3" s="11">
        <v>0.4353124177436597</v>
      </c>
      <c r="Y3" s="1"/>
      <c r="Z3" s="1"/>
    </row>
    <row r="4" spans="1:26" ht="10.5" customHeight="1" x14ac:dyDescent="0.25">
      <c r="A4" s="1" t="s">
        <v>39</v>
      </c>
      <c r="B4" s="11">
        <v>0.49663431344765047</v>
      </c>
      <c r="C4" s="11">
        <v>0.49573982362136065</v>
      </c>
      <c r="D4" s="11">
        <v>0.49352417667896675</v>
      </c>
      <c r="E4" s="11">
        <v>0.49598009440668378</v>
      </c>
      <c r="F4" s="11">
        <v>0.49368799464732982</v>
      </c>
      <c r="G4" s="11">
        <v>0.49862626909605784</v>
      </c>
      <c r="H4" s="11">
        <v>0.4876185040148302</v>
      </c>
      <c r="I4" s="11">
        <v>0.48595209918985721</v>
      </c>
      <c r="J4" s="11">
        <v>0.48460164306338605</v>
      </c>
      <c r="K4" s="11">
        <v>0.48034653001980987</v>
      </c>
      <c r="L4" s="11">
        <v>0.47660042383093382</v>
      </c>
      <c r="M4" s="11">
        <v>0.47301943362152343</v>
      </c>
      <c r="N4" s="11">
        <v>0.46888001415781727</v>
      </c>
      <c r="O4" s="11">
        <v>0.46035707280040239</v>
      </c>
      <c r="P4" s="11">
        <v>0.44905447003058258</v>
      </c>
      <c r="Q4" s="11">
        <v>0.44365311555466114</v>
      </c>
      <c r="R4" s="11">
        <v>0.4410150813605056</v>
      </c>
      <c r="S4" s="11">
        <v>0.43422030220404001</v>
      </c>
      <c r="T4" s="11">
        <v>0.42968548982144839</v>
      </c>
      <c r="U4" s="11">
        <v>0.42945240115003519</v>
      </c>
      <c r="V4" s="11">
        <v>0.42863947174550476</v>
      </c>
      <c r="W4" s="11">
        <v>0.42863947174550476</v>
      </c>
      <c r="X4" s="11">
        <v>0.43554497545153537</v>
      </c>
      <c r="Y4" s="1"/>
      <c r="Z4" s="1"/>
    </row>
    <row r="5" spans="1:26" ht="10.5" customHeight="1" x14ac:dyDescent="0.25">
      <c r="A5" s="1" t="s">
        <v>4</v>
      </c>
      <c r="B5" s="11">
        <v>0.16423436087682902</v>
      </c>
      <c r="C5" s="11">
        <v>0.16368951773587731</v>
      </c>
      <c r="D5" s="11">
        <v>0.15745269750967097</v>
      </c>
      <c r="E5" s="11">
        <v>0.15540068817675207</v>
      </c>
      <c r="F5" s="11">
        <v>0.15645120392978512</v>
      </c>
      <c r="G5" s="11">
        <v>0.15461943392555524</v>
      </c>
      <c r="H5" s="11">
        <v>0.15447824441491093</v>
      </c>
      <c r="I5" s="11">
        <v>0.15382009153809378</v>
      </c>
      <c r="J5" s="11">
        <v>0.15382671513122487</v>
      </c>
      <c r="K5" s="11">
        <v>0.15244582368037735</v>
      </c>
      <c r="L5" s="11">
        <v>0.15346852773644262</v>
      </c>
      <c r="M5" s="11">
        <v>0.16816448885248972</v>
      </c>
      <c r="N5" s="11">
        <v>0.16491849687477281</v>
      </c>
      <c r="O5" s="11">
        <v>0.16619016454834148</v>
      </c>
      <c r="P5" s="11">
        <v>0.16568924427208476</v>
      </c>
      <c r="Q5" s="11">
        <v>0.1643517869913583</v>
      </c>
      <c r="R5" s="11">
        <v>0.16165479686227904</v>
      </c>
      <c r="S5" s="11">
        <v>0.16037532979021463</v>
      </c>
      <c r="T5" s="11">
        <v>0.15951853245748385</v>
      </c>
      <c r="U5" s="11">
        <v>0.15945233278884724</v>
      </c>
      <c r="V5" s="11">
        <v>0.15863874829807745</v>
      </c>
      <c r="W5" s="11">
        <v>0.15863874829807745</v>
      </c>
      <c r="X5" s="11">
        <v>0.16103993996980287</v>
      </c>
      <c r="Y5" s="1"/>
      <c r="Z5" s="1"/>
    </row>
    <row r="6" spans="1:26" ht="10.5" customHeight="1" x14ac:dyDescent="0.25">
      <c r="A6" s="1" t="s">
        <v>5</v>
      </c>
      <c r="B6" s="11">
        <v>0.35126725253044522</v>
      </c>
      <c r="C6" s="11">
        <v>0.35185085879128697</v>
      </c>
      <c r="D6" s="11">
        <v>0.35265233599913132</v>
      </c>
      <c r="E6" s="11">
        <v>0.35359897483562214</v>
      </c>
      <c r="F6" s="11">
        <v>0.35343741695787118</v>
      </c>
      <c r="G6" s="11">
        <v>0.353816369708923</v>
      </c>
      <c r="H6" s="11">
        <v>0.35402575500252598</v>
      </c>
      <c r="I6" s="11">
        <v>0.35464582864168115</v>
      </c>
      <c r="J6" s="11">
        <v>0.35526434559124398</v>
      </c>
      <c r="K6" s="11">
        <v>0.35571293869235721</v>
      </c>
      <c r="L6" s="11">
        <v>0.35638746935555077</v>
      </c>
      <c r="M6" s="11">
        <v>0.3567835193166306</v>
      </c>
      <c r="N6" s="11">
        <v>0.35713058025453626</v>
      </c>
      <c r="O6" s="11">
        <v>0.35530413690034379</v>
      </c>
      <c r="P6" s="11">
        <v>0.35701094330220023</v>
      </c>
      <c r="Q6" s="11">
        <v>0.35868563802619341</v>
      </c>
      <c r="R6" s="11">
        <v>0.3592473117171428</v>
      </c>
      <c r="S6" s="11">
        <v>0.35936422735053342</v>
      </c>
      <c r="T6" s="11">
        <v>0.3595733684897634</v>
      </c>
      <c r="U6" s="11">
        <v>0.35999278841412463</v>
      </c>
      <c r="V6" s="11">
        <v>0.35984676506430724</v>
      </c>
      <c r="W6" s="11">
        <v>0.35984676506430724</v>
      </c>
      <c r="X6" s="11">
        <v>0.3591959759285715</v>
      </c>
      <c r="Y6" s="1"/>
      <c r="Z6" s="1"/>
    </row>
    <row r="7" spans="1:26" ht="10.5" customHeight="1" x14ac:dyDescent="0.25">
      <c r="A7" s="1" t="s">
        <v>6</v>
      </c>
      <c r="B7" s="11">
        <v>-0.19835120812058427</v>
      </c>
      <c r="C7" s="11">
        <v>-0.26450405083596684</v>
      </c>
      <c r="D7" s="11">
        <v>-0.33065689355134947</v>
      </c>
      <c r="E7" s="11">
        <v>-0.25377957820892344</v>
      </c>
      <c r="F7" s="11">
        <v>-0.29373596981167782</v>
      </c>
      <c r="G7" s="11">
        <v>-0.29961207211017621</v>
      </c>
      <c r="H7" s="11">
        <v>-0.29530134499073024</v>
      </c>
      <c r="I7" s="11">
        <v>-0.38016442060470584</v>
      </c>
      <c r="J7" s="11">
        <v>-0.36667363382875939</v>
      </c>
      <c r="K7" s="11">
        <v>-0.41354574114084225</v>
      </c>
      <c r="L7" s="11">
        <v>-0.40475595742464121</v>
      </c>
      <c r="M7" s="11">
        <v>-0.39315831111743965</v>
      </c>
      <c r="N7" s="11">
        <v>-0.44696809723973241</v>
      </c>
      <c r="O7" s="11">
        <v>-0.42575872242450796</v>
      </c>
      <c r="P7" s="11">
        <v>-0.44074461311101898</v>
      </c>
      <c r="Q7" s="11">
        <v>-0.41700903102755538</v>
      </c>
      <c r="R7" s="11">
        <v>-0.3505109868943691</v>
      </c>
      <c r="S7" s="11">
        <v>-0.41307923048734685</v>
      </c>
      <c r="T7" s="11">
        <v>-0.37741579264402381</v>
      </c>
      <c r="U7" s="11">
        <v>-0.34742965027689943</v>
      </c>
      <c r="V7" s="11">
        <v>-0.32901066578924665</v>
      </c>
      <c r="W7" s="11">
        <v>-0.31947040520608444</v>
      </c>
      <c r="X7" s="11">
        <v>-0.28659431565552573</v>
      </c>
      <c r="Y7" s="1"/>
      <c r="Z7" s="1"/>
    </row>
    <row r="8" spans="1:26" ht="10.5" customHeight="1" x14ac:dyDescent="0.25">
      <c r="A8" s="1" t="s">
        <v>7</v>
      </c>
      <c r="B8" s="11">
        <v>-6.6131239384412649E-2</v>
      </c>
      <c r="C8" s="11">
        <v>-4.4578547403216227E-2</v>
      </c>
      <c r="D8" s="11">
        <v>-2.3025855422019757E-2</v>
      </c>
      <c r="E8" s="11">
        <v>-2.4696196615695998E-2</v>
      </c>
      <c r="F8" s="11">
        <v>-6.5108028054237294E-2</v>
      </c>
      <c r="G8" s="11">
        <v>-7.4073030054569222E-2</v>
      </c>
      <c r="H8" s="11">
        <v>-0.12259392887353884</v>
      </c>
      <c r="I8" s="11">
        <v>-2.5535383820533795E-2</v>
      </c>
      <c r="J8" s="11">
        <v>-1.7961196973919756E-2</v>
      </c>
      <c r="K8" s="11">
        <v>-5.3196616657078241E-2</v>
      </c>
      <c r="L8" s="11">
        <v>-7.8939975425600981E-2</v>
      </c>
      <c r="M8" s="11">
        <v>-9.0503166615962999E-2</v>
      </c>
      <c r="N8" s="11">
        <v>-0.13804678291780864</v>
      </c>
      <c r="O8" s="11">
        <v>-8.9677212387323305E-2</v>
      </c>
      <c r="P8" s="11">
        <v>-1.6720968484878602E-2</v>
      </c>
      <c r="Q8" s="11">
        <v>2.7327999472618197E-2</v>
      </c>
      <c r="R8" s="11">
        <v>1.8897566199302811E-2</v>
      </c>
      <c r="S8" s="11">
        <v>3.2444190979003883E-2</v>
      </c>
      <c r="T8" s="11">
        <v>7.6546022295951976E-2</v>
      </c>
      <c r="U8" s="11">
        <v>0.14912773221731176</v>
      </c>
      <c r="V8" s="11">
        <v>0.13287325650453569</v>
      </c>
      <c r="W8" s="11">
        <v>9.384018927812568E-2</v>
      </c>
      <c r="X8" s="11">
        <v>0.15070204749703819</v>
      </c>
      <c r="Y8" s="1"/>
      <c r="Z8" s="1"/>
    </row>
    <row r="9" spans="1:26" ht="10.5" customHeight="1" x14ac:dyDescent="0.25">
      <c r="A9" s="1" t="s">
        <v>8</v>
      </c>
      <c r="B9" s="11">
        <v>-0.53082596659660386</v>
      </c>
      <c r="C9" s="11">
        <v>-0.48439238667488149</v>
      </c>
      <c r="D9" s="11">
        <v>-0.43795880675315929</v>
      </c>
      <c r="E9" s="11">
        <v>-0.71542708175256853</v>
      </c>
      <c r="F9" s="11">
        <v>-0.71868608295917458</v>
      </c>
      <c r="G9" s="11">
        <v>-0.641762071847916</v>
      </c>
      <c r="H9" s="11">
        <v>-0.5523779481649389</v>
      </c>
      <c r="I9" s="11">
        <v>-0.53216671943664462</v>
      </c>
      <c r="J9" s="11">
        <v>-0.52332507818937335</v>
      </c>
      <c r="K9" s="11">
        <v>-0.54561684429645474</v>
      </c>
      <c r="L9" s="11">
        <v>-0.57609100248664702</v>
      </c>
      <c r="M9" s="11">
        <v>-0.60713122673332687</v>
      </c>
      <c r="N9" s="11">
        <v>-0.5250459287315612</v>
      </c>
      <c r="O9" s="11">
        <v>-0.56278110668063208</v>
      </c>
      <c r="P9" s="11">
        <v>-0.53615851402282699</v>
      </c>
      <c r="Q9" s="11">
        <v>-0.61451483368873705</v>
      </c>
      <c r="R9" s="11">
        <v>-0.58363091349601748</v>
      </c>
      <c r="S9" s="11">
        <v>-0.47757535278797131</v>
      </c>
      <c r="T9" s="11">
        <v>-0.49928563833236722</v>
      </c>
      <c r="U9" s="11">
        <v>-0.51326652765274061</v>
      </c>
      <c r="V9" s="11">
        <v>-0.49842506647109974</v>
      </c>
      <c r="W9" s="11">
        <v>-0.58678665757179238</v>
      </c>
      <c r="X9" s="11">
        <v>-0.58033645987510862</v>
      </c>
      <c r="Y9" s="1"/>
      <c r="Z9" s="1"/>
    </row>
    <row r="10" spans="1:26" ht="10.5" customHeight="1" x14ac:dyDescent="0.25">
      <c r="A10" s="1" t="s">
        <v>9</v>
      </c>
      <c r="B10" s="11">
        <v>-4.1534116864204204E-2</v>
      </c>
      <c r="C10" s="11">
        <v>-4.9334433674812314E-2</v>
      </c>
      <c r="D10" s="11">
        <v>-5.7134750485420403E-2</v>
      </c>
      <c r="E10" s="11">
        <v>1.8729954957961814E-2</v>
      </c>
      <c r="F10" s="11">
        <v>-1.8980813026428244E-2</v>
      </c>
      <c r="G10" s="11">
        <v>3.0419252812862417E-2</v>
      </c>
      <c r="H10" s="11">
        <v>-4.487059116363503E-2</v>
      </c>
      <c r="I10" s="11">
        <v>-4.5970712229609315E-2</v>
      </c>
      <c r="J10" s="11">
        <v>-4.9441853165626659E-2</v>
      </c>
      <c r="K10" s="11">
        <v>-7.1833273768425007E-2</v>
      </c>
      <c r="L10" s="11">
        <v>-6.9948300719261197E-2</v>
      </c>
      <c r="M10" s="11">
        <v>-4.5896208286285399E-2</v>
      </c>
      <c r="N10" s="11">
        <v>-0.1080355167388916</v>
      </c>
      <c r="O10" s="11">
        <v>-0.12808133363723737</v>
      </c>
      <c r="P10" s="11">
        <v>-0.20126272439956669</v>
      </c>
      <c r="Q10" s="11">
        <v>-0.24816602170467364</v>
      </c>
      <c r="R10" s="11">
        <v>-0.21731757223606102</v>
      </c>
      <c r="S10" s="11">
        <v>-0.17574212849140178</v>
      </c>
      <c r="T10" s="11">
        <v>-0.2569977834820748</v>
      </c>
      <c r="U10" s="11">
        <v>-0.19542482122778915</v>
      </c>
      <c r="V10" s="11">
        <v>-0.16593944504857067</v>
      </c>
      <c r="W10" s="11">
        <v>-0.2211726501584054</v>
      </c>
      <c r="X10" s="11">
        <v>-0.20299617715180104</v>
      </c>
      <c r="Y10" s="1"/>
      <c r="Z10" s="1"/>
    </row>
    <row r="11" spans="1:26" ht="10.5" customHeight="1" x14ac:dyDescent="0.25">
      <c r="A11" s="1" t="s">
        <v>10</v>
      </c>
      <c r="B11" s="11">
        <v>-0.26956643462181085</v>
      </c>
      <c r="C11" s="11">
        <v>-0.29959815423935648</v>
      </c>
      <c r="D11" s="11">
        <v>-0.32962987385690218</v>
      </c>
      <c r="E11" s="11">
        <v>-0.34416896849870682</v>
      </c>
      <c r="F11" s="11">
        <v>-0.36873835334554322</v>
      </c>
      <c r="G11" s="11">
        <v>-0.39369598943740142</v>
      </c>
      <c r="H11" s="11">
        <v>-0.34594212174415578</v>
      </c>
      <c r="I11" s="11">
        <v>-0.38351628399686905</v>
      </c>
      <c r="J11" s="11">
        <v>-0.33548142518848173</v>
      </c>
      <c r="K11" s="11">
        <v>-0.2566325597465039</v>
      </c>
      <c r="L11" s="11">
        <v>-0.23000797554850577</v>
      </c>
      <c r="M11" s="11">
        <v>-0.22251340225338939</v>
      </c>
      <c r="N11" s="11">
        <v>-0.29167502075433738</v>
      </c>
      <c r="O11" s="11">
        <v>-0.26991849839687337</v>
      </c>
      <c r="P11" s="11">
        <v>-0.22699896767735459</v>
      </c>
      <c r="Q11" s="11">
        <v>-0.27374763190746287</v>
      </c>
      <c r="R11" s="11">
        <v>-0.2598253205418587</v>
      </c>
      <c r="S11" s="11">
        <v>-0.30028430689126251</v>
      </c>
      <c r="T11" s="11">
        <v>-0.2900676533579824</v>
      </c>
      <c r="U11" s="11">
        <v>-0.27321894839406002</v>
      </c>
      <c r="V11" s="11">
        <v>-0.25758096277713771</v>
      </c>
      <c r="W11" s="11">
        <v>-0.21307272464036928</v>
      </c>
      <c r="X11" s="11">
        <v>-0.20477196268737502</v>
      </c>
      <c r="Y11" s="1"/>
      <c r="Z11" s="1"/>
    </row>
    <row r="12" spans="1:26" ht="10.5" customHeight="1" x14ac:dyDescent="0.25">
      <c r="A12" s="1" t="s">
        <v>11</v>
      </c>
      <c r="B12" s="11">
        <v>-6.6090691089629811E-2</v>
      </c>
      <c r="C12" s="11">
        <v>-8.108304738998387E-2</v>
      </c>
      <c r="D12" s="11">
        <v>-9.6075403690337985E-2</v>
      </c>
      <c r="E12" s="11">
        <v>-9.0084242820738986E-2</v>
      </c>
      <c r="F12" s="11">
        <v>-0.10595232248306323</v>
      </c>
      <c r="G12" s="11">
        <v>-0.12638263106346101</v>
      </c>
      <c r="H12" s="11">
        <v>-0.21612829566001879</v>
      </c>
      <c r="I12" s="11">
        <v>-0.21357020139694241</v>
      </c>
      <c r="J12" s="11">
        <v>-0.1927327692508696</v>
      </c>
      <c r="K12" s="11">
        <v>-0.20956364870071359</v>
      </c>
      <c r="L12" s="11">
        <v>-0.19055920243263275</v>
      </c>
      <c r="M12" s="11">
        <v>-0.19617392420768637</v>
      </c>
      <c r="N12" s="11">
        <v>-0.23144918680190996</v>
      </c>
      <c r="O12" s="11">
        <v>-0.240535193681717</v>
      </c>
      <c r="P12" s="11">
        <v>-0.22708740830421456</v>
      </c>
      <c r="Q12" s="11">
        <v>-0.24263566136360018</v>
      </c>
      <c r="R12" s="11">
        <v>-0.23000380992889377</v>
      </c>
      <c r="S12" s="11">
        <v>-0.225597298145294</v>
      </c>
      <c r="T12" s="11">
        <v>-0.23823168277740439</v>
      </c>
      <c r="U12" s="11">
        <v>-0.30416250228881853</v>
      </c>
      <c r="V12" s="11">
        <v>-0.31482036709785577</v>
      </c>
      <c r="W12" s="11">
        <v>-0.31180911958217578</v>
      </c>
      <c r="X12" s="11">
        <v>-0.35362789213657531</v>
      </c>
      <c r="Y12" s="1"/>
      <c r="Z12" s="1"/>
    </row>
    <row r="13" spans="1:26" ht="10.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0.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0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0.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0.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0.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0.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0.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0.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0.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0.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0.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0.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0.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0.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0.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0.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0.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0.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0.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0.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0.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0.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0.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0.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0.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0.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0.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0.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0.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0.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0.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0.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0.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0.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0.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0.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0.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0.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0.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0.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0.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0.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0.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0.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0.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0.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0.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0.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0.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0.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0.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0.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0.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0.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0.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0.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0.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0.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0.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0.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0.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0.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0.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0.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0.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0.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0.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0.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0.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0.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0.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0.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0.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0.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0.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0.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0.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0.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0.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0.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0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0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0.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0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0.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0.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0.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0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0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0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0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0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0.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0.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0.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0.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0.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0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0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0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0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0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0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0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0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0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0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0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0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0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0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0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0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0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0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0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0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0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0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0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0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0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0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0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0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0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0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0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0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0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0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0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0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0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0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0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0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0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0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0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0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0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0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0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0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0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0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0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0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0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0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0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0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0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0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0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0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0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0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0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0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0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0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0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0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0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0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0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0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0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0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0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0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0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0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0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0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0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0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0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0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0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0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0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0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0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0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0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0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0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0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0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0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0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0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0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0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0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0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0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0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0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0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0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0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0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0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0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0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0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0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0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0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0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0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0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0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0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0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0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0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0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0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0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0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0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0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0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0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0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0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0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0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0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0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0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0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0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0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0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0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0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0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0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0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0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0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0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0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0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0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0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0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0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0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0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0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0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0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0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0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0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0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0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0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0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0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0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0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0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0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0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0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0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0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0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0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0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0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0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0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0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0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0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0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0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0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0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0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0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0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0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0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0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0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0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0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0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0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0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0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0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0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0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0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0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0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0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0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0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0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0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0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0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0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0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0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0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0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0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0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0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0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0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0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0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0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0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0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0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0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0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0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0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0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0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0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0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0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0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0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0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0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0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0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0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0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0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0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0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0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0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0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0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0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0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0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0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0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0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0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0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0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0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0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0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0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0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0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0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0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0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0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0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0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0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0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0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0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0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0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0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0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0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0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0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0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0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0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0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0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0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0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0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0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0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0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0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0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0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0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0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0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0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0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0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0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0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0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0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0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0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0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0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0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0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0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0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0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0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0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0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0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0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0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0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0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0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0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0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0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0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0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0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0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0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0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0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0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0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0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0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0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0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0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0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0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0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0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0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0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0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0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0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0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0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0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0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0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0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0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0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0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0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0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0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0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0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0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0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0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0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0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0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0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0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0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0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0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0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0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0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0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0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0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0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0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0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0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0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0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0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0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0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0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0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0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0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0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0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0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0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0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0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0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0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0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0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0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0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0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0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0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0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0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0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0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0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0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0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0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0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0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0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0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0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0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0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0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0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0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0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0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0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0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0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0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0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0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0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0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0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0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0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0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0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0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0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0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0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0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0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0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0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0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0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0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0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0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0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0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0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0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0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0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0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0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0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0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0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0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0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0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0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0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0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0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0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0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0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0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0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0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0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0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0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0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0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0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0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0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0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0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0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0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0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0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0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0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0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0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0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0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0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0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0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0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0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0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0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0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0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0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0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0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0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0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0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0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0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0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0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0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0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0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0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0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0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0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0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0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0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0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0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0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0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0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0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0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0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0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0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0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0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0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0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0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0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0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0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0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0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0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0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0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0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0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0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0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0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0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0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0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0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0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0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0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0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0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0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0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0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0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0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0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0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0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0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0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0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0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0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0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0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0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0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0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0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0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0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0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0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0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0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0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0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0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0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0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0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0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0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0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0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0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0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0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0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0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0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0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0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0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0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0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0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0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0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0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0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0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0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0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0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0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0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0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0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0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0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0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0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0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0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0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0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0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0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0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0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0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0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0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0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0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0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0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0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0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0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0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0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0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0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0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0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0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0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0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0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0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0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0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0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0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0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0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0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0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0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0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0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0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0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0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0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0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0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0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0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0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0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0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0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0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0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0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0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0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0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0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0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0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0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0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0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0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0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0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0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0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0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0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0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0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0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0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0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0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0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0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0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0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0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0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0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0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0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0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0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0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0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0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0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0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0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0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0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0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0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0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0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0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0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0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0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0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0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0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0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0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0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0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0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0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0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0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0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0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0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0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0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0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0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0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0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0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0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0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0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0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0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0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0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0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0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0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0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0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0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0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0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0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0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0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0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0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0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0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0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0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0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0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0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0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0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0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0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0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0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0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0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0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0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0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0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0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0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0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0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0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0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0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0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0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0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0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0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0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0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0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0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0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0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0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0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0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0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0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0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0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0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0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0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0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0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0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0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0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0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0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0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0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0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0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0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0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0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0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0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0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0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0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0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0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0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0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0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0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0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0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0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0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0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0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0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0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0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0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0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0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0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0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0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0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0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0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0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0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0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0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0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0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0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0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0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0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0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0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0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0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0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0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0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0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0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0.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Marginal Impacts (7.3.1)</vt:lpstr>
      <vt:lpstr>Marginal Impacts (7.2.1)</vt:lpstr>
      <vt:lpstr>Marginal Impacts (7.1.2)</vt:lpstr>
      <vt:lpstr>Marginal Impacts (7.1.1)</vt:lpstr>
      <vt:lpstr>Coefficients (7.3.1)</vt:lpstr>
      <vt:lpstr>Coefficients (7.2.1)</vt:lpstr>
      <vt:lpstr>Coefficients (7.1.2)</vt:lpstr>
      <vt:lpstr>Coefficients (7.1.1)</vt:lpstr>
      <vt:lpstr>Means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Avik Sinha</dc:creator>
  <cp:lastModifiedBy>Avik Sinha</cp:lastModifiedBy>
  <dcterms:created xsi:type="dcterms:W3CDTF">2025-01-17T07:02:58Z</dcterms:created>
  <dcterms:modified xsi:type="dcterms:W3CDTF">2025-11-23T17:24:46Z</dcterms:modified>
</cp:coreProperties>
</file>